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Audit Internal QC\Kalibrasi Tools\"/>
    </mc:Choice>
  </mc:AlternateContent>
  <xr:revisionPtr revIDLastSave="0" documentId="8_{1C252827-BD41-44A0-88F9-DADCDB7B19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W DATA" sheetId="41" r:id="rId1"/>
    <sheet name="DATA" sheetId="27" r:id="rId2"/>
    <sheet name="ALAT UKUR" sheetId="38" r:id="rId3"/>
    <sheet name="Sheet4" sheetId="39" state="hidden" r:id="rId4"/>
    <sheet name="PVT" sheetId="37" state="hidden" r:id="rId5"/>
    <sheet name="Sheet3" sheetId="36" state="hidden" r:id="rId6"/>
    <sheet name="OLD" sheetId="30" state="hidden" r:id="rId7"/>
    <sheet name="Sheet1" sheetId="28" state="hidden" r:id="rId8"/>
  </sheets>
  <definedNames>
    <definedName name="_xlnm._FilterDatabase" localSheetId="2" hidden="1">'ALAT UKUR'!$A$2:$T$61</definedName>
    <definedName name="_xlnm._FilterDatabase" localSheetId="1" hidden="1">DATA!$A$1:$P$227</definedName>
    <definedName name="_xlnm._FilterDatabase" localSheetId="6" hidden="1">OLD!$A$1:$H$123</definedName>
    <definedName name="_xlnm._FilterDatabase" localSheetId="0" hidden="1">'RAW DATA'!$A$1:$Q$275</definedName>
    <definedName name="_xlnm.Print_Area" localSheetId="1">DATA!$A$1:$P$246</definedName>
  </definedNames>
  <calcPr calcId="191029"/>
  <pivotCaches>
    <pivotCache cacheId="1" r:id="rId9"/>
    <pivotCache cacheId="2" r:id="rId10"/>
    <pivotCache cacheId="3" r:id="rId11"/>
    <pivotCache cacheId="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41" l="1"/>
  <c r="L13" i="41" s="1"/>
  <c r="J13" i="41"/>
  <c r="K117" i="41"/>
  <c r="L117" i="41" s="1"/>
  <c r="J117" i="41"/>
  <c r="K116" i="41"/>
  <c r="L116" i="41" s="1"/>
  <c r="J116" i="41"/>
  <c r="K115" i="41"/>
  <c r="L115" i="41" s="1"/>
  <c r="J115" i="41"/>
  <c r="M13" i="41" l="1"/>
  <c r="M116" i="41"/>
  <c r="M115" i="41"/>
  <c r="M117" i="41"/>
  <c r="K157" i="41" l="1"/>
  <c r="L157" i="41" s="1"/>
  <c r="J157" i="41"/>
  <c r="K156" i="41"/>
  <c r="L156" i="41" s="1"/>
  <c r="J156" i="41"/>
  <c r="K155" i="41"/>
  <c r="L155" i="41" s="1"/>
  <c r="J155" i="41"/>
  <c r="K154" i="41"/>
  <c r="L154" i="41" s="1"/>
  <c r="J154" i="41"/>
  <c r="K153" i="41"/>
  <c r="L153" i="41" s="1"/>
  <c r="J153" i="41"/>
  <c r="K152" i="41"/>
  <c r="L152" i="41" s="1"/>
  <c r="J152" i="41"/>
  <c r="K151" i="41"/>
  <c r="L151" i="41" s="1"/>
  <c r="J151" i="41"/>
  <c r="K150" i="41"/>
  <c r="L150" i="41" s="1"/>
  <c r="J150" i="41"/>
  <c r="K158" i="41"/>
  <c r="L158" i="41" s="1"/>
  <c r="J158" i="41"/>
  <c r="K149" i="41"/>
  <c r="L149" i="41" s="1"/>
  <c r="J149" i="41"/>
  <c r="K147" i="41"/>
  <c r="L147" i="41" s="1"/>
  <c r="J147" i="41"/>
  <c r="T5" i="41"/>
  <c r="T7" i="41"/>
  <c r="M149" i="41" l="1"/>
  <c r="M158" i="41"/>
  <c r="M150" i="41"/>
  <c r="M153" i="41"/>
  <c r="M156" i="41"/>
  <c r="M151" i="41"/>
  <c r="M154" i="41"/>
  <c r="M157" i="41"/>
  <c r="M155" i="41"/>
  <c r="M152" i="41"/>
  <c r="M147" i="41"/>
  <c r="J240" i="41"/>
  <c r="K240" i="41"/>
  <c r="L240" i="41" s="1"/>
  <c r="J241" i="41"/>
  <c r="K241" i="41"/>
  <c r="L241" i="41" s="1"/>
  <c r="J242" i="41"/>
  <c r="K242" i="41"/>
  <c r="L242" i="41" s="1"/>
  <c r="J243" i="41"/>
  <c r="K243" i="41"/>
  <c r="L243" i="41" s="1"/>
  <c r="J244" i="41"/>
  <c r="K244" i="41"/>
  <c r="L244" i="41" s="1"/>
  <c r="J245" i="41"/>
  <c r="K245" i="41"/>
  <c r="L245" i="41" s="1"/>
  <c r="J246" i="41"/>
  <c r="K246" i="41"/>
  <c r="L246" i="41" s="1"/>
  <c r="J247" i="41"/>
  <c r="K247" i="41"/>
  <c r="L247" i="41" s="1"/>
  <c r="J248" i="41"/>
  <c r="K248" i="41"/>
  <c r="L248" i="41" s="1"/>
  <c r="M243" i="41" l="1"/>
  <c r="M245" i="41"/>
  <c r="M246" i="41"/>
  <c r="M248" i="41"/>
  <c r="M242" i="41"/>
  <c r="M244" i="41"/>
  <c r="M247" i="41"/>
  <c r="M241" i="41"/>
  <c r="M240" i="41"/>
  <c r="K239" i="41" l="1"/>
  <c r="L239" i="41" s="1"/>
  <c r="J239" i="41"/>
  <c r="K238" i="41"/>
  <c r="L238" i="41" s="1"/>
  <c r="J238" i="41"/>
  <c r="K237" i="41"/>
  <c r="L237" i="41" s="1"/>
  <c r="J237" i="41"/>
  <c r="K236" i="41"/>
  <c r="L236" i="41" s="1"/>
  <c r="J236" i="41"/>
  <c r="K235" i="41"/>
  <c r="L235" i="41" s="1"/>
  <c r="J235" i="41"/>
  <c r="K234" i="41"/>
  <c r="L234" i="41" s="1"/>
  <c r="J234" i="41"/>
  <c r="K233" i="41"/>
  <c r="L233" i="41" s="1"/>
  <c r="J233" i="41"/>
  <c r="K232" i="41"/>
  <c r="L232" i="41" s="1"/>
  <c r="J232" i="41"/>
  <c r="K231" i="41"/>
  <c r="L231" i="41" s="1"/>
  <c r="J231" i="41"/>
  <c r="K230" i="41"/>
  <c r="L230" i="41" s="1"/>
  <c r="J230" i="41"/>
  <c r="K229" i="41"/>
  <c r="L229" i="41" s="1"/>
  <c r="J229" i="41"/>
  <c r="K228" i="41"/>
  <c r="L228" i="41" s="1"/>
  <c r="J228" i="41"/>
  <c r="K227" i="41"/>
  <c r="L227" i="41" s="1"/>
  <c r="J227" i="41"/>
  <c r="K226" i="41"/>
  <c r="L226" i="41" s="1"/>
  <c r="J226" i="41"/>
  <c r="K225" i="41"/>
  <c r="L225" i="41" s="1"/>
  <c r="J225" i="41"/>
  <c r="K224" i="41"/>
  <c r="L224" i="41" s="1"/>
  <c r="J224" i="41"/>
  <c r="K223" i="41"/>
  <c r="L223" i="41" s="1"/>
  <c r="J223" i="41"/>
  <c r="K222" i="41"/>
  <c r="L222" i="41" s="1"/>
  <c r="J222" i="41"/>
  <c r="K221" i="41"/>
  <c r="L221" i="41" s="1"/>
  <c r="J221" i="41"/>
  <c r="K220" i="41"/>
  <c r="L220" i="41" s="1"/>
  <c r="J220" i="41"/>
  <c r="K219" i="41"/>
  <c r="L219" i="41" s="1"/>
  <c r="J219" i="41"/>
  <c r="K218" i="41"/>
  <c r="L218" i="41" s="1"/>
  <c r="J218" i="41"/>
  <c r="K217" i="41"/>
  <c r="L217" i="41" s="1"/>
  <c r="J217" i="41"/>
  <c r="K216" i="41"/>
  <c r="L216" i="41" s="1"/>
  <c r="J216" i="41"/>
  <c r="K215" i="41"/>
  <c r="L215" i="41" s="1"/>
  <c r="J215" i="41"/>
  <c r="J164" i="41"/>
  <c r="K6" i="41"/>
  <c r="L6" i="41" s="1"/>
  <c r="K7" i="41"/>
  <c r="L7" i="41" s="1"/>
  <c r="K8" i="41"/>
  <c r="L8" i="41" s="1"/>
  <c r="K9" i="41"/>
  <c r="L9" i="41" s="1"/>
  <c r="K10" i="41"/>
  <c r="L10" i="41" s="1"/>
  <c r="K11" i="41"/>
  <c r="L11" i="41" s="1"/>
  <c r="K12" i="41"/>
  <c r="L12" i="41" s="1"/>
  <c r="K3" i="41"/>
  <c r="L3" i="41" s="1"/>
  <c r="K273" i="41"/>
  <c r="L273" i="41" s="1"/>
  <c r="K90" i="41"/>
  <c r="L90" i="41" s="1"/>
  <c r="K76" i="41"/>
  <c r="L76" i="41" s="1"/>
  <c r="K75" i="41"/>
  <c r="L75" i="41" s="1"/>
  <c r="K185" i="41"/>
  <c r="L185" i="41" s="1"/>
  <c r="K186" i="41"/>
  <c r="L186" i="41" s="1"/>
  <c r="K187" i="41"/>
  <c r="L187" i="41" s="1"/>
  <c r="K188" i="41"/>
  <c r="L188" i="41" s="1"/>
  <c r="K189" i="41"/>
  <c r="L189" i="41" s="1"/>
  <c r="K190" i="41"/>
  <c r="L190" i="41" s="1"/>
  <c r="K191" i="41"/>
  <c r="L191" i="41" s="1"/>
  <c r="K192" i="41"/>
  <c r="L192" i="41" s="1"/>
  <c r="K193" i="41"/>
  <c r="L193" i="41" s="1"/>
  <c r="K194" i="41"/>
  <c r="L194" i="41" s="1"/>
  <c r="K195" i="41"/>
  <c r="L195" i="41" s="1"/>
  <c r="K196" i="41"/>
  <c r="L196" i="41" s="1"/>
  <c r="K197" i="41"/>
  <c r="L197" i="41" s="1"/>
  <c r="K198" i="41"/>
  <c r="L198" i="41" s="1"/>
  <c r="K199" i="41"/>
  <c r="L199" i="41" s="1"/>
  <c r="K200" i="41"/>
  <c r="L200" i="41" s="1"/>
  <c r="K201" i="41"/>
  <c r="L201" i="41" s="1"/>
  <c r="K202" i="41"/>
  <c r="L202" i="41" s="1"/>
  <c r="K203" i="41"/>
  <c r="L203" i="41" s="1"/>
  <c r="K204" i="41"/>
  <c r="L204" i="41" s="1"/>
  <c r="K205" i="41"/>
  <c r="L205" i="41" s="1"/>
  <c r="K2" i="41"/>
  <c r="L2" i="41" s="1"/>
  <c r="K206" i="41"/>
  <c r="L206" i="41" s="1"/>
  <c r="K207" i="41"/>
  <c r="L207" i="41" s="1"/>
  <c r="K68" i="41"/>
  <c r="L68" i="41" s="1"/>
  <c r="K208" i="41"/>
  <c r="L208" i="41" s="1"/>
  <c r="K209" i="41"/>
  <c r="L209" i="41" s="1"/>
  <c r="K210" i="41"/>
  <c r="L210" i="41" s="1"/>
  <c r="K211" i="41"/>
  <c r="L211" i="41" s="1"/>
  <c r="K212" i="41"/>
  <c r="L212" i="41" s="1"/>
  <c r="K213" i="41"/>
  <c r="L213" i="41" s="1"/>
  <c r="K214" i="41"/>
  <c r="L214" i="41" s="1"/>
  <c r="K251" i="41"/>
  <c r="L251" i="41" s="1"/>
  <c r="K252" i="41"/>
  <c r="L252" i="41" s="1"/>
  <c r="K253" i="41"/>
  <c r="L253" i="41" s="1"/>
  <c r="K254" i="41"/>
  <c r="L254" i="41" s="1"/>
  <c r="K255" i="41"/>
  <c r="L255" i="41" s="1"/>
  <c r="K256" i="41"/>
  <c r="L256" i="41" s="1"/>
  <c r="K257" i="41"/>
  <c r="L257" i="41" s="1"/>
  <c r="K258" i="41"/>
  <c r="L258" i="41" s="1"/>
  <c r="K259" i="41"/>
  <c r="L259" i="41" s="1"/>
  <c r="K269" i="41"/>
  <c r="L269" i="41" s="1"/>
  <c r="K270" i="41"/>
  <c r="L270" i="41" s="1"/>
  <c r="K271" i="41"/>
  <c r="L271" i="41" s="1"/>
  <c r="K274" i="41"/>
  <c r="L274" i="41" s="1"/>
  <c r="K121" i="41"/>
  <c r="L121" i="41" s="1"/>
  <c r="K122" i="41"/>
  <c r="L122" i="41" s="1"/>
  <c r="K123" i="41"/>
  <c r="L123" i="41" s="1"/>
  <c r="K124" i="41"/>
  <c r="L124" i="41" s="1"/>
  <c r="K125" i="41"/>
  <c r="L125" i="41" s="1"/>
  <c r="K126" i="41"/>
  <c r="L126" i="41" s="1"/>
  <c r="K127" i="41"/>
  <c r="L127" i="41" s="1"/>
  <c r="K128" i="41"/>
  <c r="L128" i="41" s="1"/>
  <c r="K129" i="41"/>
  <c r="L129" i="41" s="1"/>
  <c r="K130" i="41"/>
  <c r="L130" i="41" s="1"/>
  <c r="K131" i="41"/>
  <c r="L131" i="41" s="1"/>
  <c r="K132" i="41"/>
  <c r="L132" i="41" s="1"/>
  <c r="K133" i="41"/>
  <c r="L133" i="41" s="1"/>
  <c r="K134" i="41"/>
  <c r="L134" i="41" s="1"/>
  <c r="K135" i="41"/>
  <c r="L135" i="41" s="1"/>
  <c r="K136" i="41"/>
  <c r="L136" i="41" s="1"/>
  <c r="K137" i="41"/>
  <c r="L137" i="41" s="1"/>
  <c r="K138" i="41"/>
  <c r="L138" i="41" s="1"/>
  <c r="K139" i="41"/>
  <c r="L139" i="41" s="1"/>
  <c r="K140" i="41"/>
  <c r="L140" i="41" s="1"/>
  <c r="K141" i="41"/>
  <c r="L141" i="41" s="1"/>
  <c r="K142" i="41"/>
  <c r="L142" i="41" s="1"/>
  <c r="K143" i="41"/>
  <c r="L143" i="41" s="1"/>
  <c r="K144" i="41"/>
  <c r="L144" i="41" s="1"/>
  <c r="K145" i="41"/>
  <c r="L145" i="41" s="1"/>
  <c r="K146" i="41"/>
  <c r="L146" i="41" s="1"/>
  <c r="K14" i="41"/>
  <c r="L14" i="41" s="1"/>
  <c r="K15" i="41"/>
  <c r="L15" i="41" s="1"/>
  <c r="K16" i="41"/>
  <c r="L16" i="41" s="1"/>
  <c r="K17" i="41"/>
  <c r="L17" i="41" s="1"/>
  <c r="K18" i="41"/>
  <c r="L18" i="41" s="1"/>
  <c r="K19" i="41"/>
  <c r="L19" i="41" s="1"/>
  <c r="K20" i="41"/>
  <c r="L20" i="41" s="1"/>
  <c r="K21" i="41"/>
  <c r="L21" i="41" s="1"/>
  <c r="K22" i="41"/>
  <c r="L22" i="41" s="1"/>
  <c r="K119" i="41"/>
  <c r="L119" i="41" s="1"/>
  <c r="K120" i="41"/>
  <c r="L120" i="41" s="1"/>
  <c r="K69" i="41"/>
  <c r="L69" i="41" s="1"/>
  <c r="K70" i="41"/>
  <c r="L70" i="41" s="1"/>
  <c r="K71" i="41"/>
  <c r="L71" i="41" s="1"/>
  <c r="K4" i="41"/>
  <c r="L4" i="41" s="1"/>
  <c r="K5" i="41"/>
  <c r="L5" i="41" s="1"/>
  <c r="K91" i="41"/>
  <c r="L91" i="41" s="1"/>
  <c r="K275" i="41"/>
  <c r="L275" i="41" s="1"/>
  <c r="K72" i="41"/>
  <c r="L72" i="41" s="1"/>
  <c r="K148" i="41"/>
  <c r="L148" i="41" s="1"/>
  <c r="K77" i="41"/>
  <c r="L77" i="41" s="1"/>
  <c r="K78" i="41"/>
  <c r="L78" i="41" s="1"/>
  <c r="K79" i="41"/>
  <c r="L79" i="41" s="1"/>
  <c r="K23" i="41"/>
  <c r="L23" i="41" s="1"/>
  <c r="K73" i="41"/>
  <c r="L73" i="41" s="1"/>
  <c r="K180" i="41"/>
  <c r="L180" i="41" s="1"/>
  <c r="K24" i="41"/>
  <c r="L24" i="41" s="1"/>
  <c r="K162" i="41"/>
  <c r="L162" i="41" s="1"/>
  <c r="K163" i="41"/>
  <c r="L163" i="41" s="1"/>
  <c r="K80" i="41"/>
  <c r="L80" i="41" s="1"/>
  <c r="K81" i="41"/>
  <c r="L81" i="41" s="1"/>
  <c r="K82" i="41"/>
  <c r="L82" i="41" s="1"/>
  <c r="K83" i="41"/>
  <c r="L83" i="41" s="1"/>
  <c r="K92" i="41"/>
  <c r="L92" i="41" s="1"/>
  <c r="K118" i="41"/>
  <c r="L118" i="41" s="1"/>
  <c r="K249" i="41"/>
  <c r="L249" i="41" s="1"/>
  <c r="K250" i="41"/>
  <c r="L250" i="41" s="1"/>
  <c r="K272" i="41"/>
  <c r="L272" i="41" s="1"/>
  <c r="K93" i="41"/>
  <c r="L93" i="41" s="1"/>
  <c r="K94" i="41"/>
  <c r="L94" i="41" s="1"/>
  <c r="K95" i="41"/>
  <c r="L95" i="41" s="1"/>
  <c r="K96" i="41"/>
  <c r="L96" i="41" s="1"/>
  <c r="K97" i="41"/>
  <c r="L97" i="41" s="1"/>
  <c r="K98" i="41"/>
  <c r="L98" i="41" s="1"/>
  <c r="K99" i="41"/>
  <c r="L99" i="41" s="1"/>
  <c r="K100" i="41"/>
  <c r="L100" i="41" s="1"/>
  <c r="K101" i="41"/>
  <c r="L101" i="41" s="1"/>
  <c r="K102" i="41"/>
  <c r="L102" i="41" s="1"/>
  <c r="K103" i="41"/>
  <c r="L103" i="41" s="1"/>
  <c r="K104" i="41"/>
  <c r="L104" i="41" s="1"/>
  <c r="K105" i="41"/>
  <c r="L105" i="41" s="1"/>
  <c r="K106" i="41"/>
  <c r="L106" i="41" s="1"/>
  <c r="K107" i="41"/>
  <c r="L107" i="41" s="1"/>
  <c r="K108" i="41"/>
  <c r="L108" i="41" s="1"/>
  <c r="K109" i="41"/>
  <c r="L109" i="41" s="1"/>
  <c r="K110" i="41"/>
  <c r="L110" i="41" s="1"/>
  <c r="K111" i="41"/>
  <c r="L111" i="41" s="1"/>
  <c r="K112" i="41"/>
  <c r="L112" i="41" s="1"/>
  <c r="K113" i="41"/>
  <c r="L113" i="41" s="1"/>
  <c r="K114" i="41"/>
  <c r="L114" i="41" s="1"/>
  <c r="K26" i="41"/>
  <c r="L26" i="41" s="1"/>
  <c r="K27" i="41"/>
  <c r="L27" i="41" s="1"/>
  <c r="K28" i="41"/>
  <c r="L28" i="41" s="1"/>
  <c r="K29" i="41"/>
  <c r="L29" i="41" s="1"/>
  <c r="K30" i="41"/>
  <c r="L30" i="41" s="1"/>
  <c r="K31" i="41"/>
  <c r="L31" i="41" s="1"/>
  <c r="K32" i="41"/>
  <c r="L32" i="41" s="1"/>
  <c r="K33" i="41"/>
  <c r="L33" i="41" s="1"/>
  <c r="K34" i="41"/>
  <c r="L34" i="41" s="1"/>
  <c r="K35" i="41"/>
  <c r="L35" i="41" s="1"/>
  <c r="K36" i="41"/>
  <c r="L36" i="41" s="1"/>
  <c r="K37" i="41"/>
  <c r="L37" i="41" s="1"/>
  <c r="K38" i="41"/>
  <c r="L38" i="41" s="1"/>
  <c r="K39" i="41"/>
  <c r="L39" i="41" s="1"/>
  <c r="K40" i="41"/>
  <c r="L40" i="41" s="1"/>
  <c r="K41" i="41"/>
  <c r="L41" i="41" s="1"/>
  <c r="K42" i="41"/>
  <c r="L42" i="41" s="1"/>
  <c r="K43" i="41"/>
  <c r="L43" i="41" s="1"/>
  <c r="K44" i="41"/>
  <c r="L44" i="41" s="1"/>
  <c r="K45" i="41"/>
  <c r="L45" i="41" s="1"/>
  <c r="K46" i="41"/>
  <c r="L46" i="41" s="1"/>
  <c r="K47" i="41"/>
  <c r="L47" i="41" s="1"/>
  <c r="K48" i="41"/>
  <c r="L48" i="41" s="1"/>
  <c r="K49" i="41"/>
  <c r="L49" i="41" s="1"/>
  <c r="K50" i="41"/>
  <c r="L50" i="41" s="1"/>
  <c r="K51" i="41"/>
  <c r="L51" i="41" s="1"/>
  <c r="K52" i="41"/>
  <c r="L52" i="41" s="1"/>
  <c r="K53" i="41"/>
  <c r="L53" i="41" s="1"/>
  <c r="K54" i="41"/>
  <c r="L54" i="41" s="1"/>
  <c r="K55" i="41"/>
  <c r="L55" i="41" s="1"/>
  <c r="K56" i="41"/>
  <c r="L56" i="41" s="1"/>
  <c r="K57" i="41"/>
  <c r="L57" i="41" s="1"/>
  <c r="K58" i="41"/>
  <c r="L58" i="41" s="1"/>
  <c r="K59" i="41"/>
  <c r="L59" i="41" s="1"/>
  <c r="K60" i="41"/>
  <c r="L60" i="41" s="1"/>
  <c r="K61" i="41"/>
  <c r="L61" i="41" s="1"/>
  <c r="K62" i="41"/>
  <c r="L62" i="41" s="1"/>
  <c r="K63" i="41"/>
  <c r="L63" i="41" s="1"/>
  <c r="K64" i="41"/>
  <c r="L64" i="41" s="1"/>
  <c r="K65" i="41"/>
  <c r="L65" i="41" s="1"/>
  <c r="K66" i="41"/>
  <c r="L66" i="41" s="1"/>
  <c r="K67" i="41"/>
  <c r="L67" i="41" s="1"/>
  <c r="K159" i="41"/>
  <c r="L159" i="41" s="1"/>
  <c r="K160" i="41"/>
  <c r="L160" i="41" s="1"/>
  <c r="K161" i="41"/>
  <c r="L161" i="41" s="1"/>
  <c r="K165" i="41"/>
  <c r="L165" i="41" s="1"/>
  <c r="K166" i="41"/>
  <c r="L166" i="41" s="1"/>
  <c r="K167" i="41"/>
  <c r="L167" i="41" s="1"/>
  <c r="K168" i="41"/>
  <c r="L168" i="41" s="1"/>
  <c r="K169" i="41"/>
  <c r="L169" i="41" s="1"/>
  <c r="K170" i="41"/>
  <c r="L170" i="41" s="1"/>
  <c r="K171" i="41"/>
  <c r="L171" i="41" s="1"/>
  <c r="K172" i="41"/>
  <c r="L172" i="41" s="1"/>
  <c r="K173" i="41"/>
  <c r="L173" i="41" s="1"/>
  <c r="K174" i="41"/>
  <c r="L174" i="41" s="1"/>
  <c r="K175" i="41"/>
  <c r="L175" i="41" s="1"/>
  <c r="K176" i="41"/>
  <c r="L176" i="41" s="1"/>
  <c r="K177" i="41"/>
  <c r="L177" i="41" s="1"/>
  <c r="K178" i="41"/>
  <c r="L178" i="41" s="1"/>
  <c r="K179" i="41"/>
  <c r="L179" i="41" s="1"/>
  <c r="K260" i="41"/>
  <c r="L260" i="41" s="1"/>
  <c r="K261" i="41"/>
  <c r="L261" i="41" s="1"/>
  <c r="K262" i="41"/>
  <c r="L262" i="41" s="1"/>
  <c r="K263" i="41"/>
  <c r="L263" i="41" s="1"/>
  <c r="K264" i="41"/>
  <c r="L264" i="41" s="1"/>
  <c r="K265" i="41"/>
  <c r="L265" i="41" s="1"/>
  <c r="K266" i="41"/>
  <c r="L266" i="41" s="1"/>
  <c r="K267" i="41"/>
  <c r="L267" i="41" s="1"/>
  <c r="K268" i="41"/>
  <c r="L268" i="41" s="1"/>
  <c r="K74" i="41"/>
  <c r="L74" i="41" s="1"/>
  <c r="K164" i="41"/>
  <c r="L164" i="41" s="1"/>
  <c r="K87" i="41"/>
  <c r="L87" i="41" s="1"/>
  <c r="K181" i="41"/>
  <c r="L181" i="41" s="1"/>
  <c r="K182" i="41"/>
  <c r="L182" i="41" s="1"/>
  <c r="K183" i="41"/>
  <c r="L183" i="41" s="1"/>
  <c r="K184" i="41"/>
  <c r="L184" i="41" s="1"/>
  <c r="K86" i="41"/>
  <c r="L86" i="41" s="1"/>
  <c r="K84" i="41"/>
  <c r="L84" i="41" s="1"/>
  <c r="K85" i="41"/>
  <c r="L85" i="41" s="1"/>
  <c r="K25" i="41"/>
  <c r="L25" i="41" s="1"/>
  <c r="K88" i="41"/>
  <c r="L88" i="41" s="1"/>
  <c r="K89" i="41"/>
  <c r="L89" i="41" s="1"/>
  <c r="J6" i="41"/>
  <c r="J7" i="41"/>
  <c r="J8" i="41"/>
  <c r="J9" i="41"/>
  <c r="J10" i="41"/>
  <c r="J11" i="41"/>
  <c r="J12" i="41"/>
  <c r="J3" i="41"/>
  <c r="J273" i="41"/>
  <c r="J90" i="41"/>
  <c r="J76" i="41"/>
  <c r="J75" i="41"/>
  <c r="J185" i="41"/>
  <c r="J186" i="41"/>
  <c r="J187" i="41"/>
  <c r="J188" i="41"/>
  <c r="J189" i="41"/>
  <c r="J190" i="41"/>
  <c r="J191" i="41"/>
  <c r="J192" i="41"/>
  <c r="J193" i="41"/>
  <c r="J194" i="41"/>
  <c r="J195" i="41"/>
  <c r="J196" i="41"/>
  <c r="J197" i="41"/>
  <c r="J198" i="41"/>
  <c r="J199" i="41"/>
  <c r="J200" i="41"/>
  <c r="J201" i="41"/>
  <c r="J202" i="41"/>
  <c r="J203" i="41"/>
  <c r="J204" i="41"/>
  <c r="J205" i="41"/>
  <c r="J2" i="41"/>
  <c r="J206" i="41"/>
  <c r="J207" i="41"/>
  <c r="J68" i="41"/>
  <c r="J208" i="41"/>
  <c r="J209" i="41"/>
  <c r="J210" i="41"/>
  <c r="J211" i="41"/>
  <c r="J212" i="41"/>
  <c r="J213" i="41"/>
  <c r="J214" i="41"/>
  <c r="J251" i="41"/>
  <c r="J252" i="41"/>
  <c r="J253" i="41"/>
  <c r="J254" i="41"/>
  <c r="J255" i="41"/>
  <c r="J256" i="41"/>
  <c r="J257" i="41"/>
  <c r="J258" i="41"/>
  <c r="J259" i="41"/>
  <c r="J269" i="41"/>
  <c r="J270" i="41"/>
  <c r="J271" i="41"/>
  <c r="J274" i="41"/>
  <c r="J121" i="41"/>
  <c r="J122" i="41"/>
  <c r="J123" i="41"/>
  <c r="J124" i="41"/>
  <c r="J125" i="41"/>
  <c r="J126" i="41"/>
  <c r="J127" i="41"/>
  <c r="J128" i="41"/>
  <c r="J129" i="41"/>
  <c r="J130" i="41"/>
  <c r="J131" i="41"/>
  <c r="J132" i="41"/>
  <c r="J133" i="41"/>
  <c r="J134" i="41"/>
  <c r="J135" i="41"/>
  <c r="J136" i="41"/>
  <c r="J137" i="41"/>
  <c r="J138" i="41"/>
  <c r="J139" i="41"/>
  <c r="J140" i="41"/>
  <c r="J141" i="41"/>
  <c r="J142" i="41"/>
  <c r="J143" i="41"/>
  <c r="J144" i="41"/>
  <c r="J145" i="41"/>
  <c r="J146" i="41"/>
  <c r="J14" i="41"/>
  <c r="J15" i="41"/>
  <c r="J16" i="41"/>
  <c r="J17" i="41"/>
  <c r="J18" i="41"/>
  <c r="J19" i="41"/>
  <c r="J20" i="41"/>
  <c r="J21" i="41"/>
  <c r="J22" i="41"/>
  <c r="J119" i="41"/>
  <c r="J120" i="41"/>
  <c r="J69" i="41"/>
  <c r="J70" i="41"/>
  <c r="J71" i="41"/>
  <c r="J4" i="41"/>
  <c r="J5" i="41"/>
  <c r="J91" i="41"/>
  <c r="J275" i="41"/>
  <c r="J72" i="41"/>
  <c r="J148" i="41"/>
  <c r="J77" i="41"/>
  <c r="J78" i="41"/>
  <c r="J79" i="41"/>
  <c r="J23" i="41"/>
  <c r="J73" i="41"/>
  <c r="J180" i="41"/>
  <c r="J24" i="41"/>
  <c r="J162" i="41"/>
  <c r="J163" i="41"/>
  <c r="J80" i="41"/>
  <c r="J81" i="41"/>
  <c r="J82" i="41"/>
  <c r="J83" i="41"/>
  <c r="J92" i="41"/>
  <c r="J118" i="41"/>
  <c r="J249" i="41"/>
  <c r="J250" i="41"/>
  <c r="J272" i="41"/>
  <c r="J93" i="41"/>
  <c r="J94" i="41"/>
  <c r="J95" i="41"/>
  <c r="J96" i="41"/>
  <c r="J97" i="41"/>
  <c r="J98" i="41"/>
  <c r="J99" i="41"/>
  <c r="J100" i="41"/>
  <c r="J101" i="41"/>
  <c r="J102" i="41"/>
  <c r="J103" i="41"/>
  <c r="J104" i="41"/>
  <c r="J105" i="41"/>
  <c r="J106" i="41"/>
  <c r="J107" i="41"/>
  <c r="J108" i="41"/>
  <c r="J109" i="41"/>
  <c r="J110" i="41"/>
  <c r="J111" i="41"/>
  <c r="J112" i="41"/>
  <c r="J113" i="41"/>
  <c r="J114" i="41"/>
  <c r="J26" i="41"/>
  <c r="J27" i="41"/>
  <c r="J28" i="41"/>
  <c r="J29" i="41"/>
  <c r="J30" i="41"/>
  <c r="J31" i="41"/>
  <c r="J32" i="41"/>
  <c r="J33" i="41"/>
  <c r="J34" i="41"/>
  <c r="J35" i="41"/>
  <c r="J36" i="41"/>
  <c r="J37" i="41"/>
  <c r="J38" i="41"/>
  <c r="J39" i="41"/>
  <c r="J40" i="41"/>
  <c r="J41" i="41"/>
  <c r="J42" i="41"/>
  <c r="J43" i="41"/>
  <c r="J44" i="41"/>
  <c r="J45" i="41"/>
  <c r="J46" i="41"/>
  <c r="J47" i="41"/>
  <c r="J48" i="41"/>
  <c r="J49" i="41"/>
  <c r="J50" i="41"/>
  <c r="J51" i="41"/>
  <c r="J52" i="41"/>
  <c r="J53" i="41"/>
  <c r="J54" i="41"/>
  <c r="J55" i="41"/>
  <c r="J56" i="41"/>
  <c r="J57" i="41"/>
  <c r="J58" i="41"/>
  <c r="J59" i="41"/>
  <c r="J60" i="41"/>
  <c r="J61" i="41"/>
  <c r="J62" i="41"/>
  <c r="J63" i="41"/>
  <c r="J64" i="41"/>
  <c r="J65" i="41"/>
  <c r="J66" i="41"/>
  <c r="J67" i="41"/>
  <c r="J159" i="41"/>
  <c r="J160" i="41"/>
  <c r="J161" i="41"/>
  <c r="J165" i="41"/>
  <c r="J166" i="41"/>
  <c r="J167" i="41"/>
  <c r="J168" i="41"/>
  <c r="J169" i="41"/>
  <c r="J170" i="41"/>
  <c r="J171" i="41"/>
  <c r="J172" i="41"/>
  <c r="J173" i="41"/>
  <c r="J174" i="41"/>
  <c r="J175" i="41"/>
  <c r="J176" i="41"/>
  <c r="J177" i="41"/>
  <c r="J178" i="41"/>
  <c r="J179" i="41"/>
  <c r="J260" i="41"/>
  <c r="J261" i="41"/>
  <c r="J262" i="41"/>
  <c r="J263" i="41"/>
  <c r="J264" i="41"/>
  <c r="J265" i="41"/>
  <c r="J266" i="41"/>
  <c r="J267" i="41"/>
  <c r="J268" i="41"/>
  <c r="J74" i="41"/>
  <c r="J87" i="41"/>
  <c r="J181" i="41"/>
  <c r="J182" i="41"/>
  <c r="J183" i="41"/>
  <c r="J184" i="41"/>
  <c r="J86" i="41"/>
  <c r="J84" i="41"/>
  <c r="J85" i="41"/>
  <c r="J25" i="41"/>
  <c r="J88" i="41"/>
  <c r="J89" i="41"/>
  <c r="M231" i="41" l="1"/>
  <c r="M233" i="41"/>
  <c r="M229" i="41"/>
  <c r="M238" i="41"/>
  <c r="M234" i="41"/>
  <c r="M232" i="41"/>
  <c r="M228" i="41"/>
  <c r="M230" i="41"/>
  <c r="M237" i="41"/>
  <c r="M239" i="41"/>
  <c r="M235" i="41"/>
  <c r="M227" i="41"/>
  <c r="M236" i="41"/>
  <c r="M225" i="41"/>
  <c r="M12" i="41"/>
  <c r="M6" i="41"/>
  <c r="M222" i="41"/>
  <c r="M226" i="41"/>
  <c r="M224" i="41"/>
  <c r="M216" i="41"/>
  <c r="M220" i="41"/>
  <c r="M223" i="41"/>
  <c r="M56" i="41"/>
  <c r="M109" i="41"/>
  <c r="M148" i="41"/>
  <c r="M137" i="41"/>
  <c r="M131" i="41"/>
  <c r="M125" i="41"/>
  <c r="M271" i="41"/>
  <c r="M256" i="41"/>
  <c r="M214" i="41"/>
  <c r="M208" i="41"/>
  <c r="M204" i="41"/>
  <c r="M198" i="41"/>
  <c r="M192" i="41"/>
  <c r="M186" i="41"/>
  <c r="M3" i="41"/>
  <c r="M7" i="41"/>
  <c r="M215" i="41"/>
  <c r="M217" i="41"/>
  <c r="M218" i="41"/>
  <c r="M219" i="41"/>
  <c r="M221" i="41"/>
  <c r="M87" i="41"/>
  <c r="M84" i="41"/>
  <c r="M265" i="41"/>
  <c r="M179" i="41"/>
  <c r="M173" i="41"/>
  <c r="M167" i="41"/>
  <c r="M67" i="41"/>
  <c r="M61" i="41"/>
  <c r="M55" i="41"/>
  <c r="M49" i="41"/>
  <c r="M43" i="41"/>
  <c r="M37" i="41"/>
  <c r="M31" i="41"/>
  <c r="M114" i="41"/>
  <c r="M108" i="41"/>
  <c r="M102" i="41"/>
  <c r="M96" i="41"/>
  <c r="M249" i="41"/>
  <c r="M80" i="41"/>
  <c r="M23" i="41"/>
  <c r="M72" i="41"/>
  <c r="M70" i="41"/>
  <c r="M20" i="41"/>
  <c r="M14" i="41"/>
  <c r="M142" i="41"/>
  <c r="M136" i="41"/>
  <c r="M130" i="41"/>
  <c r="M124" i="41"/>
  <c r="M270" i="41"/>
  <c r="M255" i="41"/>
  <c r="M213" i="41"/>
  <c r="M68" i="41"/>
  <c r="M203" i="41"/>
  <c r="M197" i="41"/>
  <c r="M191" i="41"/>
  <c r="M185" i="41"/>
  <c r="M267" i="41"/>
  <c r="M261" i="41"/>
  <c r="M175" i="41"/>
  <c r="M169" i="41"/>
  <c r="M160" i="41"/>
  <c r="M63" i="41"/>
  <c r="M57" i="41"/>
  <c r="M51" i="41"/>
  <c r="M45" i="41"/>
  <c r="M39" i="41"/>
  <c r="M33" i="41"/>
  <c r="M27" i="41"/>
  <c r="M110" i="41"/>
  <c r="M104" i="41"/>
  <c r="M98" i="41"/>
  <c r="M272" i="41"/>
  <c r="M82" i="41"/>
  <c r="M180" i="41"/>
  <c r="M4" i="41"/>
  <c r="M22" i="41"/>
  <c r="M16" i="41"/>
  <c r="M144" i="41"/>
  <c r="M138" i="41"/>
  <c r="M132" i="41"/>
  <c r="M126" i="41"/>
  <c r="M274" i="41"/>
  <c r="M257" i="41"/>
  <c r="M251" i="41"/>
  <c r="M209" i="41"/>
  <c r="M205" i="41"/>
  <c r="M199" i="41"/>
  <c r="M193" i="41"/>
  <c r="M187" i="41"/>
  <c r="M273" i="41"/>
  <c r="M8" i="41"/>
  <c r="M25" i="41"/>
  <c r="M182" i="41"/>
  <c r="M89" i="41"/>
  <c r="M134" i="41"/>
  <c r="M128" i="41"/>
  <c r="M122" i="41"/>
  <c r="M259" i="41"/>
  <c r="M253" i="41"/>
  <c r="M211" i="41"/>
  <c r="M206" i="41"/>
  <c r="M201" i="41"/>
  <c r="M195" i="41"/>
  <c r="M189" i="41"/>
  <c r="M76" i="41"/>
  <c r="M10" i="41"/>
  <c r="M266" i="41"/>
  <c r="M86" i="41"/>
  <c r="M164" i="41"/>
  <c r="M264" i="41"/>
  <c r="M178" i="41"/>
  <c r="M172" i="41"/>
  <c r="M166" i="41"/>
  <c r="M66" i="41"/>
  <c r="M60" i="41"/>
  <c r="M54" i="41"/>
  <c r="M48" i="41"/>
  <c r="M42" i="41"/>
  <c r="M36" i="41"/>
  <c r="M30" i="41"/>
  <c r="M113" i="41"/>
  <c r="M107" i="41"/>
  <c r="M101" i="41"/>
  <c r="M95" i="41"/>
  <c r="M118" i="41"/>
  <c r="M163" i="41"/>
  <c r="M79" i="41"/>
  <c r="M275" i="41"/>
  <c r="M69" i="41"/>
  <c r="M19" i="41"/>
  <c r="M141" i="41"/>
  <c r="M135" i="41"/>
  <c r="M129" i="41"/>
  <c r="M123" i="41"/>
  <c r="M269" i="41"/>
  <c r="M254" i="41"/>
  <c r="M212" i="41"/>
  <c r="M207" i="41"/>
  <c r="M202" i="41"/>
  <c r="M196" i="41"/>
  <c r="M190" i="41"/>
  <c r="M75" i="41"/>
  <c r="M11" i="41"/>
  <c r="M88" i="41"/>
  <c r="M183" i="41"/>
  <c r="M268" i="41"/>
  <c r="M262" i="41"/>
  <c r="M176" i="41"/>
  <c r="M170" i="41"/>
  <c r="M161" i="41"/>
  <c r="M64" i="41"/>
  <c r="M58" i="41"/>
  <c r="M52" i="41"/>
  <c r="M46" i="41"/>
  <c r="M40" i="41"/>
  <c r="M34" i="41"/>
  <c r="M28" i="41"/>
  <c r="M111" i="41"/>
  <c r="M105" i="41"/>
  <c r="M99" i="41"/>
  <c r="M93" i="41"/>
  <c r="M83" i="41"/>
  <c r="M24" i="41"/>
  <c r="M77" i="41"/>
  <c r="M5" i="41"/>
  <c r="M119" i="41"/>
  <c r="M17" i="41"/>
  <c r="M145" i="41"/>
  <c r="M139" i="41"/>
  <c r="M133" i="41"/>
  <c r="M127" i="41"/>
  <c r="M121" i="41"/>
  <c r="M258" i="41"/>
  <c r="M252" i="41"/>
  <c r="M210" i="41"/>
  <c r="M2" i="41"/>
  <c r="M200" i="41"/>
  <c r="M194" i="41"/>
  <c r="M188" i="41"/>
  <c r="M90" i="41"/>
  <c r="M9" i="41"/>
  <c r="M85" i="41"/>
  <c r="M181" i="41"/>
  <c r="M260" i="41"/>
  <c r="M174" i="41"/>
  <c r="M168" i="41"/>
  <c r="M159" i="41"/>
  <c r="M62" i="41"/>
  <c r="M50" i="41"/>
  <c r="M44" i="41"/>
  <c r="M38" i="41"/>
  <c r="M32" i="41"/>
  <c r="M26" i="41"/>
  <c r="M103" i="41"/>
  <c r="M97" i="41"/>
  <c r="M250" i="41"/>
  <c r="M81" i="41"/>
  <c r="M73" i="41"/>
  <c r="M71" i="41"/>
  <c r="M21" i="41"/>
  <c r="M15" i="41"/>
  <c r="M143" i="41"/>
  <c r="M263" i="41"/>
  <c r="M165" i="41"/>
  <c r="M47" i="41"/>
  <c r="M112" i="41"/>
  <c r="M92" i="41"/>
  <c r="M120" i="41"/>
  <c r="M74" i="41"/>
  <c r="M65" i="41"/>
  <c r="M41" i="41"/>
  <c r="M106" i="41"/>
  <c r="M162" i="41"/>
  <c r="M18" i="41"/>
  <c r="M184" i="41"/>
  <c r="M171" i="41"/>
  <c r="M53" i="41"/>
  <c r="M29" i="41"/>
  <c r="M94" i="41"/>
  <c r="M91" i="41"/>
  <c r="M140" i="41"/>
  <c r="M177" i="41"/>
  <c r="M59" i="41"/>
  <c r="M35" i="41"/>
  <c r="M100" i="41"/>
  <c r="M78" i="41"/>
  <c r="M146" i="41"/>
  <c r="J235" i="27"/>
  <c r="J128" i="27" l="1"/>
  <c r="J233" i="27"/>
  <c r="J224" i="27" l="1"/>
  <c r="J232" i="27" l="1"/>
  <c r="D115" i="27"/>
  <c r="D124" i="27"/>
  <c r="D114" i="27"/>
  <c r="D113" i="27"/>
  <c r="D112" i="27"/>
  <c r="D108" i="27"/>
  <c r="D109" i="27"/>
  <c r="D107" i="27"/>
  <c r="D93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D213" i="27"/>
  <c r="D214" i="27"/>
  <c r="D215" i="27"/>
  <c r="D216" i="27"/>
  <c r="D217" i="27"/>
  <c r="D218" i="27"/>
  <c r="D219" i="27"/>
  <c r="D220" i="27"/>
  <c r="D221" i="27"/>
  <c r="D222" i="27"/>
  <c r="D223" i="27"/>
  <c r="D225" i="27"/>
  <c r="D226" i="27"/>
  <c r="D227" i="27"/>
  <c r="D228" i="27"/>
  <c r="D229" i="27"/>
  <c r="D230" i="27"/>
  <c r="D231" i="27"/>
  <c r="D9" i="27"/>
  <c r="D10" i="27"/>
  <c r="D11" i="27"/>
  <c r="D12" i="27"/>
  <c r="D13" i="27"/>
  <c r="D14" i="27"/>
  <c r="D15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3" i="27"/>
  <c r="D44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8" i="27"/>
  <c r="D7" i="27"/>
  <c r="D123" i="27"/>
  <c r="D122" i="27"/>
  <c r="D121" i="27"/>
  <c r="D120" i="27"/>
  <c r="J36" i="27" l="1"/>
  <c r="J37" i="27"/>
  <c r="J38" i="27"/>
  <c r="J39" i="27"/>
  <c r="J40" i="27"/>
  <c r="J45" i="27"/>
  <c r="J110" i="27"/>
  <c r="J116" i="27"/>
  <c r="J117" i="27"/>
  <c r="J113" i="27"/>
  <c r="J112" i="27"/>
  <c r="J94" i="27" l="1"/>
  <c r="J95" i="27"/>
  <c r="J96" i="27"/>
  <c r="J97" i="27"/>
  <c r="J98" i="27"/>
  <c r="J99" i="27"/>
  <c r="J100" i="27"/>
  <c r="J101" i="27"/>
  <c r="J102" i="27"/>
  <c r="J103" i="27"/>
  <c r="J104" i="27"/>
  <c r="J105" i="27"/>
  <c r="J106" i="27"/>
  <c r="J107" i="27"/>
  <c r="J108" i="27"/>
  <c r="J42" i="27"/>
  <c r="J115" i="27"/>
  <c r="J118" i="27"/>
  <c r="J120" i="27"/>
  <c r="J121" i="27"/>
  <c r="J122" i="27"/>
  <c r="J123" i="27"/>
  <c r="J7" i="27"/>
  <c r="J8" i="27"/>
  <c r="J125" i="27"/>
  <c r="J126" i="27"/>
  <c r="J127" i="27"/>
  <c r="J129" i="27"/>
  <c r="J52" i="27"/>
  <c r="J43" i="27"/>
  <c r="J44" i="27"/>
  <c r="J130" i="27"/>
  <c r="J131" i="27"/>
  <c r="J132" i="27"/>
  <c r="J133" i="27"/>
  <c r="J134" i="27"/>
  <c r="J135" i="27"/>
  <c r="J136" i="27"/>
  <c r="J137" i="27"/>
  <c r="J138" i="27"/>
  <c r="J139" i="27"/>
  <c r="J140" i="27"/>
  <c r="J141" i="27"/>
  <c r="J142" i="27"/>
  <c r="J143" i="27"/>
  <c r="J144" i="27"/>
  <c r="J145" i="27"/>
  <c r="J146" i="27"/>
  <c r="J147" i="27"/>
  <c r="J148" i="27"/>
  <c r="J149" i="27"/>
  <c r="J150" i="27"/>
  <c r="J151" i="27"/>
  <c r="J152" i="27"/>
  <c r="J153" i="27"/>
  <c r="J154" i="27"/>
  <c r="J155" i="27"/>
  <c r="J156" i="27"/>
  <c r="J157" i="27"/>
  <c r="J158" i="27"/>
  <c r="J159" i="27"/>
  <c r="J160" i="27"/>
  <c r="J161" i="27"/>
  <c r="J162" i="27"/>
  <c r="J163" i="27"/>
  <c r="J164" i="27"/>
  <c r="J165" i="27"/>
  <c r="J166" i="27"/>
  <c r="J167" i="27"/>
  <c r="J168" i="27"/>
  <c r="J169" i="27"/>
  <c r="J170" i="27"/>
  <c r="J171" i="27"/>
  <c r="J172" i="27"/>
  <c r="J173" i="27"/>
  <c r="J174" i="27"/>
  <c r="J175" i="27"/>
  <c r="J176" i="27"/>
  <c r="J177" i="27"/>
  <c r="J178" i="27"/>
  <c r="J179" i="27"/>
  <c r="J180" i="27"/>
  <c r="J181" i="27"/>
  <c r="J182" i="27"/>
  <c r="J183" i="27"/>
  <c r="J184" i="27"/>
  <c r="J185" i="27"/>
  <c r="J186" i="27"/>
  <c r="J187" i="27"/>
  <c r="J188" i="27"/>
  <c r="J189" i="27"/>
  <c r="J190" i="27"/>
  <c r="J191" i="27"/>
  <c r="J192" i="27"/>
  <c r="J193" i="27"/>
  <c r="J194" i="27"/>
  <c r="J195" i="27"/>
  <c r="J196" i="27"/>
  <c r="J197" i="27"/>
  <c r="J198" i="27"/>
  <c r="J199" i="27"/>
  <c r="J200" i="27"/>
  <c r="J201" i="27"/>
  <c r="J202" i="27"/>
  <c r="J203" i="27"/>
  <c r="J204" i="27"/>
  <c r="J205" i="27"/>
  <c r="J206" i="27"/>
  <c r="J207" i="27"/>
  <c r="J208" i="27"/>
  <c r="J209" i="27"/>
  <c r="J210" i="27"/>
  <c r="J211" i="27"/>
  <c r="J212" i="27"/>
  <c r="J213" i="27"/>
  <c r="J214" i="27"/>
  <c r="J215" i="27"/>
  <c r="J216" i="27"/>
  <c r="J217" i="27"/>
  <c r="J218" i="27"/>
  <c r="J219" i="27"/>
  <c r="J220" i="27"/>
  <c r="J221" i="27"/>
  <c r="J222" i="27"/>
  <c r="J223" i="27"/>
  <c r="J119" i="27"/>
  <c r="J225" i="27"/>
  <c r="J226" i="27"/>
  <c r="J227" i="27"/>
  <c r="J228" i="27"/>
  <c r="J229" i="27"/>
  <c r="J230" i="27"/>
  <c r="J231" i="27"/>
  <c r="J62" i="27"/>
  <c r="J61" i="27"/>
  <c r="J17" i="27"/>
  <c r="J18" i="27"/>
  <c r="J109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51" i="27" l="1"/>
  <c r="A55" i="38" l="1"/>
  <c r="A47" i="38"/>
  <c r="A35" i="38"/>
  <c r="A41" i="38"/>
  <c r="A61" i="38"/>
  <c r="A60" i="38"/>
  <c r="A59" i="38"/>
  <c r="A34" i="38"/>
  <c r="A18" i="38"/>
  <c r="A33" i="38"/>
  <c r="A58" i="38"/>
  <c r="A32" i="38"/>
  <c r="A17" i="38"/>
  <c r="A57" i="38"/>
  <c r="A56" i="38"/>
  <c r="A16" i="38"/>
  <c r="A31" i="38"/>
  <c r="A15" i="38"/>
  <c r="A46" i="38"/>
  <c r="A45" i="38"/>
  <c r="A44" i="38"/>
  <c r="A54" i="38"/>
  <c r="A53" i="38"/>
  <c r="A30" i="38"/>
  <c r="A14" i="38"/>
  <c r="A29" i="38"/>
  <c r="A13" i="38"/>
  <c r="A43" i="38"/>
  <c r="A52" i="38"/>
  <c r="A51" i="38"/>
  <c r="A50" i="38"/>
  <c r="A49" i="38"/>
  <c r="A48" i="38"/>
  <c r="A28" i="38"/>
  <c r="A12" i="38"/>
  <c r="A27" i="38"/>
  <c r="A11" i="38"/>
  <c r="A42" i="38"/>
  <c r="A40" i="38"/>
  <c r="A39" i="38"/>
  <c r="A38" i="38"/>
  <c r="A37" i="38"/>
  <c r="A26" i="38"/>
  <c r="A10" i="38"/>
  <c r="A9" i="38"/>
  <c r="A25" i="38"/>
  <c r="A24" i="38"/>
  <c r="A8" i="38"/>
  <c r="A23" i="38"/>
  <c r="A7" i="38"/>
  <c r="A22" i="38"/>
  <c r="A6" i="38"/>
  <c r="A36" i="38"/>
  <c r="A21" i="38"/>
  <c r="A5" i="38"/>
  <c r="A20" i="38"/>
  <c r="A4" i="38"/>
  <c r="A19" i="38"/>
  <c r="A3" i="38"/>
  <c r="C10" i="37" l="1"/>
  <c r="C11" i="37"/>
  <c r="J15" i="27" l="1"/>
  <c r="J93" i="27"/>
  <c r="J14" i="27"/>
  <c r="J13" i="27"/>
  <c r="J12" i="27"/>
  <c r="J11" i="27"/>
  <c r="J10" i="27"/>
  <c r="J9" i="27"/>
  <c r="J16" i="27" l="1"/>
  <c r="J46" i="27"/>
  <c r="J47" i="27"/>
  <c r="J48" i="27"/>
  <c r="J49" i="27"/>
  <c r="J50" i="27"/>
  <c r="J41" i="27"/>
  <c r="J53" i="27"/>
  <c r="J54" i="27"/>
  <c r="J55" i="27"/>
  <c r="J56" i="27"/>
  <c r="J57" i="27"/>
  <c r="J58" i="27"/>
  <c r="J59" i="27"/>
  <c r="J60" i="27"/>
  <c r="J63" i="27"/>
  <c r="J64" i="27"/>
  <c r="J65" i="27"/>
  <c r="J66" i="27"/>
  <c r="J67" i="27"/>
  <c r="J68" i="27"/>
  <c r="J69" i="27"/>
  <c r="J70" i="27"/>
  <c r="J71" i="27"/>
  <c r="J72" i="27"/>
  <c r="J73" i="27"/>
  <c r="J74" i="27"/>
  <c r="J75" i="27"/>
  <c r="J76" i="27"/>
  <c r="J77" i="27"/>
  <c r="J78" i="27"/>
  <c r="J79" i="27"/>
  <c r="J80" i="27"/>
  <c r="J81" i="27"/>
  <c r="J82" i="27"/>
  <c r="J83" i="27"/>
  <c r="J84" i="27"/>
  <c r="J85" i="27"/>
  <c r="J86" i="27"/>
  <c r="J87" i="27"/>
  <c r="J88" i="27"/>
  <c r="J89" i="27"/>
  <c r="J90" i="27"/>
  <c r="J91" i="27"/>
  <c r="J92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Fitri A. Siagian</author>
  </authors>
  <commentList>
    <comment ref="D55" authorId="0" shapeId="0" xr:uid="{A450B4C2-1234-4EDB-89FD-A0826C540E55}">
      <text>
        <r>
          <rPr>
            <b/>
            <sz val="9"/>
            <color indexed="81"/>
            <rFont val="Tahoma"/>
            <family val="2"/>
          </rPr>
          <t>Fitri A. Siagian:</t>
        </r>
        <r>
          <rPr>
            <sz val="9"/>
            <color indexed="81"/>
            <rFont val="Tahoma"/>
            <family val="2"/>
          </rPr>
          <t xml:space="preserve">
Tidak perlu sertifikasi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dani.o</author>
    <author>Dani Oktariyanto</author>
  </authors>
  <commentList>
    <comment ref="N24" authorId="0" shapeId="0" xr:uid="{C2991334-5F6F-4A81-A05A-002EEC1A7B8A}">
      <text>
        <r>
          <rPr>
            <b/>
            <sz val="9"/>
            <rFont val="Times New Roman"/>
            <family val="1"/>
          </rPr>
          <t>dani.o:</t>
        </r>
        <r>
          <rPr>
            <sz val="9"/>
            <rFont val="Times New Roman"/>
            <family val="1"/>
          </rPr>
          <t xml:space="preserve">
RESEAL IN OUT CYL</t>
        </r>
      </text>
    </comment>
    <comment ref="AF52" authorId="1" shapeId="0" xr:uid="{838437C5-4D3F-441C-BD4E-CBA49C6563F8}">
      <text>
        <r>
          <rPr>
            <b/>
            <sz val="9"/>
            <rFont val="Tahoma"/>
            <family val="2"/>
          </rPr>
          <t>Dani Oktariyanto:</t>
        </r>
        <r>
          <rPr>
            <sz val="9"/>
            <rFont val="Tahoma"/>
            <family val="2"/>
          </rPr>
          <t xml:space="preserve">
GANTI FILTER ATAS</t>
        </r>
      </text>
    </comment>
    <comment ref="AG52" authorId="1" shapeId="0" xr:uid="{FBCE2DA4-DB9A-476E-99FA-CD5150C1789C}">
      <text>
        <r>
          <rPr>
            <b/>
            <sz val="9"/>
            <rFont val="Tahoma"/>
            <family val="2"/>
          </rPr>
          <t>Dani Oktariyanto:</t>
        </r>
        <r>
          <rPr>
            <sz val="9"/>
            <rFont val="Tahoma"/>
            <family val="2"/>
          </rPr>
          <t xml:space="preserve">
GANTI FILTER ATAS</t>
        </r>
      </text>
    </comment>
    <comment ref="AH52" authorId="1" shapeId="0" xr:uid="{1D944DDC-6877-42DA-982F-BD09F787FB53}">
      <text>
        <r>
          <rPr>
            <b/>
            <sz val="9"/>
            <rFont val="Tahoma"/>
            <family val="2"/>
          </rPr>
          <t>Dani Oktariyanto:</t>
        </r>
        <r>
          <rPr>
            <sz val="9"/>
            <rFont val="Tahoma"/>
            <family val="2"/>
          </rPr>
          <t xml:space="preserve">
GANTI FILTER ATAS</t>
        </r>
      </text>
    </comment>
  </commentList>
</comments>
</file>

<file path=xl/sharedStrings.xml><?xml version="1.0" encoding="utf-8"?>
<sst xmlns="http://schemas.openxmlformats.org/spreadsheetml/2006/main" count="4196" uniqueCount="825">
  <si>
    <t>No</t>
  </si>
  <si>
    <t>Item no. / Asset No.</t>
  </si>
  <si>
    <t>Category</t>
  </si>
  <si>
    <t>SWL Capacity  (Ton)</t>
  </si>
  <si>
    <t>Location</t>
  </si>
  <si>
    <t>Last Insp. Date</t>
  </si>
  <si>
    <t>Certification No.</t>
  </si>
  <si>
    <t>Expired Date</t>
  </si>
  <si>
    <t>Vendor</t>
  </si>
  <si>
    <t>Days after Last Insp. Date</t>
  </si>
  <si>
    <t>Days before Exp. Date</t>
  </si>
  <si>
    <t>Exp. Date Remarks</t>
  </si>
  <si>
    <t>Inspection Remarks</t>
  </si>
  <si>
    <t>Actual Condition</t>
  </si>
  <si>
    <t>Link Sertifikat</t>
  </si>
  <si>
    <t>Remark</t>
  </si>
  <si>
    <t>Last PR/PO</t>
  </si>
  <si>
    <t>Row Labels</t>
  </si>
  <si>
    <t>Count of Item no. / Asset No.</t>
  </si>
  <si>
    <t>ACAT37001</t>
  </si>
  <si>
    <t>AIR COMPRESSOR</t>
  </si>
  <si>
    <t>BRC</t>
  </si>
  <si>
    <t>5015/CI/AI/XI/25/SID</t>
  </si>
  <si>
    <t>PT AREXAS</t>
  </si>
  <si>
    <t>1. Certified</t>
  </si>
  <si>
    <t>ACSN001</t>
  </si>
  <si>
    <t>AIR COMPRESSOR PORTABLE</t>
  </si>
  <si>
    <t>Painting</t>
  </si>
  <si>
    <t>4202/CI/AI/X/25/SID</t>
  </si>
  <si>
    <t>GOOD</t>
  </si>
  <si>
    <t>4. Prepare for Certification</t>
  </si>
  <si>
    <t>BM-ART-02</t>
  </si>
  <si>
    <t>AIR RECIEVER TANK</t>
  </si>
  <si>
    <t>Grand Total</t>
  </si>
  <si>
    <t>BM-ART-01</t>
  </si>
  <si>
    <t>BM-CS-7702</t>
  </si>
  <si>
    <t>CHAIN SLING</t>
  </si>
  <si>
    <t>0</t>
  </si>
  <si>
    <t>5511/CI/AI/XI/25/MCL</t>
  </si>
  <si>
    <t>BM-CS-7707</t>
  </si>
  <si>
    <t>5507/CI/AI/XI/25/MCL</t>
  </si>
  <si>
    <t>Achievement</t>
  </si>
  <si>
    <t>BM-CS-7706</t>
  </si>
  <si>
    <t>5514/CI/AI/XI/25/MCL</t>
  </si>
  <si>
    <t>BM-CS-7705</t>
  </si>
  <si>
    <t>5510/CI/AI/XI/25/MCL</t>
  </si>
  <si>
    <t>BM-CS-7704</t>
  </si>
  <si>
    <t>5512/CI/AI/XI/25/MCL</t>
  </si>
  <si>
    <t>BM-CS-7703</t>
  </si>
  <si>
    <t>5513/CI/AI/XI/25/MCL</t>
  </si>
  <si>
    <t>BM-CS-7700</t>
  </si>
  <si>
    <t>BM-CS-7701</t>
  </si>
  <si>
    <t>BM-CS-7709</t>
  </si>
  <si>
    <t>CRANE TRAVEL</t>
  </si>
  <si>
    <t>Disassembly</t>
  </si>
  <si>
    <t>5509/CI/AI/XI/25/MCL</t>
  </si>
  <si>
    <t>Washing</t>
  </si>
  <si>
    <t>WCAB03001</t>
  </si>
  <si>
    <t>Assembly</t>
  </si>
  <si>
    <t>WCAB03002</t>
  </si>
  <si>
    <t>WCAB05001</t>
  </si>
  <si>
    <t>WCAB05002</t>
  </si>
  <si>
    <t>WCAB07001</t>
  </si>
  <si>
    <t>Disassembly Bay 1</t>
  </si>
  <si>
    <t>WCAB07002</t>
  </si>
  <si>
    <t>BRC-ETF-001</t>
  </si>
  <si>
    <t>EXTENSION FORKLIFT</t>
  </si>
  <si>
    <t>Fabrikasi</t>
  </si>
  <si>
    <t>2818/CI/AI/VII/26/PDA</t>
  </si>
  <si>
    <t>BRC-ETF-002</t>
  </si>
  <si>
    <t>3132/CI/AI/VIII/26/PDA</t>
  </si>
  <si>
    <t>BM-103A</t>
  </si>
  <si>
    <t>BRC-EB-01</t>
  </si>
  <si>
    <t>EYE BOLT</t>
  </si>
  <si>
    <t>Tool Room</t>
  </si>
  <si>
    <t>BRC-EB-02</t>
  </si>
  <si>
    <t>BRC-EB-03</t>
  </si>
  <si>
    <t>BRC-EB-04</t>
  </si>
  <si>
    <t>BRC-EB-05</t>
  </si>
  <si>
    <t>BRC-EB-06</t>
  </si>
  <si>
    <t>BRC-EB-07</t>
  </si>
  <si>
    <t>BRC-EB-08</t>
  </si>
  <si>
    <t>BRC-EB-09</t>
  </si>
  <si>
    <t>BRC-EB-10</t>
  </si>
  <si>
    <t>BRC-EB-11</t>
  </si>
  <si>
    <t>BRC-EB-12</t>
  </si>
  <si>
    <t>BRC-EB-13</t>
  </si>
  <si>
    <t>BRC-EB-14</t>
  </si>
  <si>
    <t>BRC-EB-15</t>
  </si>
  <si>
    <t>BRC-EB-16</t>
  </si>
  <si>
    <t>BRC-EB-17</t>
  </si>
  <si>
    <t>BRC-EB-18</t>
  </si>
  <si>
    <t>BRC-EB-19</t>
  </si>
  <si>
    <t>BRC-EB-20</t>
  </si>
  <si>
    <t>BRC-EB-21</t>
  </si>
  <si>
    <t>BRC-EB-22</t>
  </si>
  <si>
    <t>BRC-EB-23</t>
  </si>
  <si>
    <t>BRC-EB-24</t>
  </si>
  <si>
    <t>BRC-EB-25</t>
  </si>
  <si>
    <t>BRC-EB-26</t>
  </si>
  <si>
    <t>BRC-EB-27</t>
  </si>
  <si>
    <t>BRC-EB-28</t>
  </si>
  <si>
    <t>BRC-EB-29</t>
  </si>
  <si>
    <t>BRC-EB-30</t>
  </si>
  <si>
    <t>BRC-EB-31</t>
  </si>
  <si>
    <t>BRC-EB-32</t>
  </si>
  <si>
    <t>BRC-EB-33</t>
  </si>
  <si>
    <t>BRC-EB-34</t>
  </si>
  <si>
    <t>BRC-EB-35</t>
  </si>
  <si>
    <t>BRC-EB-36</t>
  </si>
  <si>
    <t>BRC-EB-37</t>
  </si>
  <si>
    <t>BRC-EB-38</t>
  </si>
  <si>
    <t>BRC-EB-39</t>
  </si>
  <si>
    <t>BRC-EB-40</t>
  </si>
  <si>
    <t>BRC-EB-41</t>
  </si>
  <si>
    <t>BRC-EB-42</t>
  </si>
  <si>
    <t>FLPT30028</t>
  </si>
  <si>
    <t>FORKLIFT</t>
  </si>
  <si>
    <t>Interport</t>
  </si>
  <si>
    <t>FLPT50008</t>
  </si>
  <si>
    <t>5516/CI/AI/XI/25/MCL</t>
  </si>
  <si>
    <t>FLPT10001</t>
  </si>
  <si>
    <t>5517/CI/AI/XI/25/MCL</t>
  </si>
  <si>
    <t>FLPT30033</t>
  </si>
  <si>
    <t>FLPT50006</t>
  </si>
  <si>
    <t>0316/CI/AI/II/26/ABN</t>
  </si>
  <si>
    <t>FLKM18001</t>
  </si>
  <si>
    <t>FLKM18004</t>
  </si>
  <si>
    <t>FT-1000L</t>
  </si>
  <si>
    <t>Fuel Skid 1000 L</t>
  </si>
  <si>
    <t>Test Bench Engine</t>
  </si>
  <si>
    <t>4472/CI/AI/X/25/WST</t>
  </si>
  <si>
    <t>FT-3000L</t>
  </si>
  <si>
    <t xml:space="preserve">Fuel Tank  </t>
  </si>
  <si>
    <t>4471/CI/AI/X/25/WST</t>
  </si>
  <si>
    <t>BM-MH-01</t>
  </si>
  <si>
    <t>GANTRY CRANE</t>
  </si>
  <si>
    <t>Pre Washing</t>
  </si>
  <si>
    <t>BRC-HP-368</t>
  </si>
  <si>
    <t>HAND PALLET</t>
  </si>
  <si>
    <t>BRC-HP-369</t>
  </si>
  <si>
    <t>BRC-HP-02</t>
  </si>
  <si>
    <t>3314/CI/AI/VIII/26/PDA</t>
  </si>
  <si>
    <t>BRC-HP-04</t>
  </si>
  <si>
    <t>3126/CI/ AI/VIII/26/PDA</t>
  </si>
  <si>
    <t>BRC-HP-06</t>
  </si>
  <si>
    <t>3127/CI/AI/VIII/26/PDA</t>
  </si>
  <si>
    <t>BRC-HP-07</t>
  </si>
  <si>
    <t>31/28/CI/AI/VIII/26/PDA</t>
  </si>
  <si>
    <t>BRC-HP-08</t>
  </si>
  <si>
    <t>3315/CI/AI/VIII/26/PDA</t>
  </si>
  <si>
    <t>BRC-HP-09</t>
  </si>
  <si>
    <t>3316/CI/AI/VIII/26/PDA</t>
  </si>
  <si>
    <t>BRC-HJ-01</t>
  </si>
  <si>
    <t>HYDRAULIC JACK</t>
  </si>
  <si>
    <t>BRC-JB-01</t>
  </si>
  <si>
    <t xml:space="preserve">JACK BOTTLE </t>
  </si>
  <si>
    <t>BRC-JB-02</t>
  </si>
  <si>
    <t>Additional</t>
  </si>
  <si>
    <t>BRC-JP-02</t>
  </si>
  <si>
    <t>JACK PRESS</t>
  </si>
  <si>
    <t>BRC-JP-04</t>
  </si>
  <si>
    <t>EPW-HFPR-200</t>
  </si>
  <si>
    <t>BRC-JP-03</t>
  </si>
  <si>
    <t>BRC-LB-01</t>
  </si>
  <si>
    <t>LINK BRACKET</t>
  </si>
  <si>
    <t>BRC-LB-02</t>
  </si>
  <si>
    <t>BRC-LB-03</t>
  </si>
  <si>
    <t>BRC-LB-04</t>
  </si>
  <si>
    <t>BRC-LB-05</t>
  </si>
  <si>
    <t>BRC-LB-06</t>
  </si>
  <si>
    <t>BRC-LB-07</t>
  </si>
  <si>
    <t>BRC-LB-08</t>
  </si>
  <si>
    <t>BRC-LB-09</t>
  </si>
  <si>
    <t>BRC-LB-10</t>
  </si>
  <si>
    <t>BRC-LB-11</t>
  </si>
  <si>
    <t>BRC-LB-12</t>
  </si>
  <si>
    <t>BRC-LB-13</t>
  </si>
  <si>
    <t>BRC-LB-14</t>
  </si>
  <si>
    <t>BRC-LB-15</t>
  </si>
  <si>
    <t>BRC-LB-16</t>
  </si>
  <si>
    <t>BRC-LB-17</t>
  </si>
  <si>
    <t>BRC-LB-18</t>
  </si>
  <si>
    <t>BRC-LB-19</t>
  </si>
  <si>
    <t>BRC-LB-20</t>
  </si>
  <si>
    <t>BRC-LB-21</t>
  </si>
  <si>
    <t>BRC-LB-22</t>
  </si>
  <si>
    <t>BRC-LHG-01</t>
  </si>
  <si>
    <t>LIFTING HUB GEAR</t>
  </si>
  <si>
    <t>BRC-LHG-02</t>
  </si>
  <si>
    <t>BRC-LHG-03</t>
  </si>
  <si>
    <t>MLKB10001</t>
  </si>
  <si>
    <t>MAN LIFT</t>
  </si>
  <si>
    <t>OCAB03001</t>
  </si>
  <si>
    <t>OHC</t>
  </si>
  <si>
    <t>Test Bench Pt</t>
  </si>
  <si>
    <t>OCAB10001</t>
  </si>
  <si>
    <t>BUMA-WIP-RRHD-01</t>
  </si>
  <si>
    <t>RACK REPAIR HEAVY DUTY</t>
  </si>
  <si>
    <t>WIP</t>
  </si>
  <si>
    <t>BUMA-WIP-RRHD-02</t>
  </si>
  <si>
    <t>BUMA-WIP-RRHD-03</t>
  </si>
  <si>
    <t>BUMA-WIP-RRHD-04</t>
  </si>
  <si>
    <t>BUMA-WIP-RRHD-05</t>
  </si>
  <si>
    <t>BUMA-WIP-RRHD-06</t>
  </si>
  <si>
    <t>BUMA-WIP-RRHD-07</t>
  </si>
  <si>
    <t>BUMA-WIP-RRHD-08</t>
  </si>
  <si>
    <t>BUMA-WIP-RRHD-09</t>
  </si>
  <si>
    <t>BUMA-WIP-RRHD-10</t>
  </si>
  <si>
    <t>BUMA-WIP-RRHD-11</t>
  </si>
  <si>
    <t>BUMA-WIP-RRHD-12</t>
  </si>
  <si>
    <t>BUMA-WIP-RRHD-13</t>
  </si>
  <si>
    <t>BUMA-SR-RRHD-01</t>
  </si>
  <si>
    <t>Strorage Repair</t>
  </si>
  <si>
    <t>BUMA-SR-RRHD-02</t>
  </si>
  <si>
    <t>BUMA-SR-RRHD-03</t>
  </si>
  <si>
    <t>BUMA-SR-RRHD-04</t>
  </si>
  <si>
    <t>BUMA-SR-RRHD-05</t>
  </si>
  <si>
    <t>BUMA-SR-RRHD-06</t>
  </si>
  <si>
    <t>BUMA-SR-RRHD-07</t>
  </si>
  <si>
    <t>BUMA-SR-RRHD-08</t>
  </si>
  <si>
    <t>BUMA-SR-RRHD-09</t>
  </si>
  <si>
    <t>BUMA-SR-RRHD-10</t>
  </si>
  <si>
    <t>BUMA-SR-RRHD-11</t>
  </si>
  <si>
    <t>BUMA-SR-RRHD-12</t>
  </si>
  <si>
    <t>BUMA-SR-RRHD-13</t>
  </si>
  <si>
    <t>BUMA-SR-RRHD-14</t>
  </si>
  <si>
    <t>BUMA-SR-RRHD-15</t>
  </si>
  <si>
    <t>BUMA-SR-RRHD-16</t>
  </si>
  <si>
    <t>BUMA-SR-RRHD-17</t>
  </si>
  <si>
    <t>BUMA-SR-RRHD-18</t>
  </si>
  <si>
    <t>BUMA-SR-RRHD-19</t>
  </si>
  <si>
    <t>BUMA-SR-RRHD-20</t>
  </si>
  <si>
    <t>BUMA-SR-RRHD-21</t>
  </si>
  <si>
    <t>BUMA-SR-RRHD-22</t>
  </si>
  <si>
    <t>BUMA-SR-RRHD-23</t>
  </si>
  <si>
    <t>BUMA-SR-RRHD-24</t>
  </si>
  <si>
    <t>BUMA-SR-RRHD-25</t>
  </si>
  <si>
    <t>BRC-RG-01</t>
  </si>
  <si>
    <t>RING GEAR 785-7</t>
  </si>
  <si>
    <t>BRC-RG-02</t>
  </si>
  <si>
    <t>BRC-RG-03</t>
  </si>
  <si>
    <t>BRC-ROSD-01</t>
  </si>
  <si>
    <t>ROLLOVER STAND</t>
  </si>
  <si>
    <t>Assembly (Bay 4)</t>
  </si>
  <si>
    <t>3129/CI/AI/VIII/26/PDA</t>
  </si>
  <si>
    <t>BRC-ROSD-02</t>
  </si>
  <si>
    <t>Assembly (Bay 15)</t>
  </si>
  <si>
    <t>3130/CI/AI/VIII/26/PDA</t>
  </si>
  <si>
    <t>BRC-SRL-002</t>
  </si>
  <si>
    <t>SCISSOR LIFT</t>
  </si>
  <si>
    <t>BRC-SC-01</t>
  </si>
  <si>
    <t>SHACKLE</t>
  </si>
  <si>
    <t>BRC-SC-02</t>
  </si>
  <si>
    <t>BRC-SC-03</t>
  </si>
  <si>
    <t>BRC-SC-04</t>
  </si>
  <si>
    <t>BRC-SC-05</t>
  </si>
  <si>
    <t>BRC-SC-06</t>
  </si>
  <si>
    <t>BRC-SC-07</t>
  </si>
  <si>
    <t>BRC-SC-08</t>
  </si>
  <si>
    <t>BRC-SC-09</t>
  </si>
  <si>
    <t>BRC-SC-10</t>
  </si>
  <si>
    <t>BRC-SC-11</t>
  </si>
  <si>
    <t>BRC-SC-12</t>
  </si>
  <si>
    <t>BRC-SC-13</t>
  </si>
  <si>
    <t>BRC-SC-14</t>
  </si>
  <si>
    <t>BRC-SC-15</t>
  </si>
  <si>
    <t>BRC-SA-02</t>
  </si>
  <si>
    <t>STAND ASSEMBLY</t>
  </si>
  <si>
    <t>3131/CI/AI/VIII/26/PDA</t>
  </si>
  <si>
    <t>BRC-SE-01</t>
  </si>
  <si>
    <t xml:space="preserve">STAND ENGINE </t>
  </si>
  <si>
    <t>BRC-SE-02</t>
  </si>
  <si>
    <t>BRC-SE-03</t>
  </si>
  <si>
    <t>BRC-SE-04</t>
  </si>
  <si>
    <t>BRC-ST-019</t>
  </si>
  <si>
    <t>STAND JACK</t>
  </si>
  <si>
    <t>BRC-ST-020</t>
  </si>
  <si>
    <t>BRC-ST-021</t>
  </si>
  <si>
    <t>BRC-ST-023</t>
  </si>
  <si>
    <t>BRC-ST-024</t>
  </si>
  <si>
    <t>BRC-ST-025</t>
  </si>
  <si>
    <t>BRC-ST-027</t>
  </si>
  <si>
    <t>BRC-ST-028</t>
  </si>
  <si>
    <t>BRC-ST-030</t>
  </si>
  <si>
    <t>BRC-ST-031</t>
  </si>
  <si>
    <t>BRC-ST-032</t>
  </si>
  <si>
    <t>BRC-ST-34</t>
  </si>
  <si>
    <t>BRC-ST-35</t>
  </si>
  <si>
    <t>BRC-ST-36</t>
  </si>
  <si>
    <t>BRC-ST-37</t>
  </si>
  <si>
    <t>BRC-ST-38</t>
  </si>
  <si>
    <t>BRC-ST-39</t>
  </si>
  <si>
    <t>BRC-ST-41</t>
  </si>
  <si>
    <t>BRC-ST-43</t>
  </si>
  <si>
    <t>BRC-ST-44</t>
  </si>
  <si>
    <t>BRC-ST-008</t>
  </si>
  <si>
    <t>BRC-ST-015</t>
  </si>
  <si>
    <t>BRC-ST-016</t>
  </si>
  <si>
    <t>BRC-ST-01</t>
  </si>
  <si>
    <t>BRC-ST-004</t>
  </si>
  <si>
    <t>BRC-ST-005</t>
  </si>
  <si>
    <t>BRC-ST-006</t>
  </si>
  <si>
    <t>BRC-ST-007</t>
  </si>
  <si>
    <t>BRC-ST-010</t>
  </si>
  <si>
    <t>BM-BIN-ST-SJ-0042</t>
  </si>
  <si>
    <t>BM-BIN-ST-SJ-0078</t>
  </si>
  <si>
    <t>BM-BIN-ST-SJ-0096</t>
  </si>
  <si>
    <t>BM-BIN-ST-SJ-0107</t>
  </si>
  <si>
    <t>BM-BIN-ST-SJ-0123</t>
  </si>
  <si>
    <t>BM-BIN-ST-SJ-0139</t>
  </si>
  <si>
    <t>BM-BIN-ST-SJ-074</t>
  </si>
  <si>
    <t>BM-BIN-ST-SJ-083</t>
  </si>
  <si>
    <t>BM-BIN-ST-SJ-084</t>
  </si>
  <si>
    <t>BM-ND-10</t>
  </si>
  <si>
    <t>BM-M0-03</t>
  </si>
  <si>
    <t>BM-JS-30T-02</t>
  </si>
  <si>
    <t>BM-ND03</t>
  </si>
  <si>
    <t>BM-ND05</t>
  </si>
  <si>
    <t>BM-OP02</t>
  </si>
  <si>
    <t>BM-M006</t>
  </si>
  <si>
    <t>BMJ08G</t>
  </si>
  <si>
    <t>BMJ08H</t>
  </si>
  <si>
    <t>BM-ND06</t>
  </si>
  <si>
    <t>BM-M005</t>
  </si>
  <si>
    <t>BM-ND09</t>
  </si>
  <si>
    <t>BM-ND11</t>
  </si>
  <si>
    <t>BM-SV-01</t>
  </si>
  <si>
    <t>JS-30T-01</t>
  </si>
  <si>
    <t>JS-30T-03</t>
  </si>
  <si>
    <t>BRC-ST-02</t>
  </si>
  <si>
    <t>BRC-ST-05</t>
  </si>
  <si>
    <t>BRC-ST-06</t>
  </si>
  <si>
    <t>BRC-ST-07</t>
  </si>
  <si>
    <t>BRC-ST-08</t>
  </si>
  <si>
    <t>BRC-ST-09</t>
  </si>
  <si>
    <t>BRC-ST-12</t>
  </si>
  <si>
    <t>BRC-ST-13</t>
  </si>
  <si>
    <t>BRC-ST-14</t>
  </si>
  <si>
    <t>BRC-FD-02</t>
  </si>
  <si>
    <t>STAND TEST BENCH FINAL DRIVE</t>
  </si>
  <si>
    <t>Test Bench</t>
  </si>
  <si>
    <t>BRC-FD-01</t>
  </si>
  <si>
    <t>BRC-STR-01</t>
  </si>
  <si>
    <t>STAND TRANSMISSION</t>
  </si>
  <si>
    <t>BRC-STR-02</t>
  </si>
  <si>
    <t>BRC-STR-03</t>
  </si>
  <si>
    <t>BRC-STR-04</t>
  </si>
  <si>
    <t>BRC-STR-05</t>
  </si>
  <si>
    <t>BRC-STR-06</t>
  </si>
  <si>
    <t>BRC-STR-07</t>
  </si>
  <si>
    <t>BRC-STR-08</t>
  </si>
  <si>
    <t>BRC-STR-09</t>
  </si>
  <si>
    <t>BRC-SP-01</t>
  </si>
  <si>
    <t>SWIPEL</t>
  </si>
  <si>
    <t>BRC-SP-02</t>
  </si>
  <si>
    <t>BRC-SP-03</t>
  </si>
  <si>
    <t>BRC-SP-04</t>
  </si>
  <si>
    <t>BRC-SP-05</t>
  </si>
  <si>
    <t>BRC-SP-06</t>
  </si>
  <si>
    <t>BRC-SP-07</t>
  </si>
  <si>
    <t>BRC-SP-08</t>
  </si>
  <si>
    <t>BRC-SP-09</t>
  </si>
  <si>
    <t>BRC-TW-01</t>
  </si>
  <si>
    <t>TABLE WORK</t>
  </si>
  <si>
    <t>BRC-TW-02</t>
  </si>
  <si>
    <t>BRC-TW-03</t>
  </si>
  <si>
    <t>BRC-TLCH-01</t>
  </si>
  <si>
    <t xml:space="preserve">TEST LEAKING CYLINDER HEAD </t>
  </si>
  <si>
    <t>Disassy Bay 1</t>
  </si>
  <si>
    <t>BRC-TJRO-01</t>
  </si>
  <si>
    <t>TOOL JACK &amp; ROLL OVER STAND ENGINE</t>
  </si>
  <si>
    <t>BRC-TJRO-02</t>
  </si>
  <si>
    <t>BM-MK-01</t>
  </si>
  <si>
    <t>After Repair</t>
  </si>
  <si>
    <t>0146/CI/AI/I/26/ABN</t>
  </si>
  <si>
    <t xml:space="preserve">NO </t>
  </si>
  <si>
    <t>KODE ASET</t>
  </si>
  <si>
    <t>DESCRIPTION</t>
  </si>
  <si>
    <t>CATEGORY</t>
  </si>
  <si>
    <t>SWL (TON)</t>
  </si>
  <si>
    <t>SIZE / KAPASITAS</t>
  </si>
  <si>
    <t>MASA BERLAKU</t>
  </si>
  <si>
    <t>STATUS</t>
  </si>
  <si>
    <t>LAST INSPECTION</t>
  </si>
  <si>
    <t>RENCANA PEMERIKSAAN</t>
  </si>
  <si>
    <t>LAST PR</t>
  </si>
  <si>
    <t>LAST PO</t>
  </si>
  <si>
    <t>LOKASI</t>
  </si>
  <si>
    <t>BRAND</t>
  </si>
  <si>
    <t>REMARK</t>
  </si>
  <si>
    <t>LINK  PDF</t>
  </si>
  <si>
    <t>BRC-RG-04</t>
  </si>
  <si>
    <t>EXPIRED</t>
  </si>
  <si>
    <t>TOOL ROOM</t>
  </si>
  <si>
    <t>CATERPILLAR</t>
  </si>
  <si>
    <t>AKTUAL TIDAK ADA</t>
  </si>
  <si>
    <t>BRC-RG-05</t>
  </si>
  <si>
    <t>BRC-RG-06</t>
  </si>
  <si>
    <t>BM-ES-01</t>
  </si>
  <si>
    <t>ELECTRIC STACKER</t>
  </si>
  <si>
    <t>FABRIKASI</t>
  </si>
  <si>
    <t>HUBWAGEN</t>
  </si>
  <si>
    <t>BREAKDOWN</t>
  </si>
  <si>
    <t>BM - ES - 01</t>
  </si>
  <si>
    <t>ASSEMBLY</t>
  </si>
  <si>
    <t>ENERPAC</t>
  </si>
  <si>
    <t>BRC - JP - 02</t>
  </si>
  <si>
    <t>BRC-HP-01</t>
  </si>
  <si>
    <t>SCRAP</t>
  </si>
  <si>
    <t>BRC-HP-03</t>
  </si>
  <si>
    <t>AKTIF</t>
  </si>
  <si>
    <t>PAINTING</t>
  </si>
  <si>
    <t>SWAN</t>
  </si>
  <si>
    <t>DISASSEMBLY</t>
  </si>
  <si>
    <t>3000 L</t>
  </si>
  <si>
    <t>1000 L</t>
  </si>
  <si>
    <t>TEST BENCH ENGINE</t>
  </si>
  <si>
    <t>ERRC</t>
  </si>
  <si>
    <t>BRC - ST - 008</t>
  </si>
  <si>
    <t>AIR COMPRESSOR ATLAS COPCO RS37IE</t>
  </si>
  <si>
    <t>ATLAS COPCO</t>
  </si>
  <si>
    <t>BRC - ST - 15</t>
  </si>
  <si>
    <t>DAVIDI INTERNATIONAL</t>
  </si>
  <si>
    <t>BRC - ST - 16</t>
  </si>
  <si>
    <t>FORKLIFT PATRIA PFD30C-1_028</t>
  </si>
  <si>
    <t>PATRIA</t>
  </si>
  <si>
    <t>WALL TRAVELLING JIB CRANE</t>
  </si>
  <si>
    <t>wait submit sertifikat</t>
  </si>
  <si>
    <t>BRC - ST - 01</t>
  </si>
  <si>
    <t>BRC - ST - 004</t>
  </si>
  <si>
    <t>BRC - ST - 005</t>
  </si>
  <si>
    <t>BRC - ST - 006</t>
  </si>
  <si>
    <t>BRC - ST - 007</t>
  </si>
  <si>
    <t>BRC - ST - 10</t>
  </si>
  <si>
    <t>BRC - STR - 01</t>
  </si>
  <si>
    <t>BRC - STR - 02</t>
  </si>
  <si>
    <t>BRC - STR - 03</t>
  </si>
  <si>
    <t>BRC - STR - 04</t>
  </si>
  <si>
    <t>BRC - STR - 05</t>
  </si>
  <si>
    <t>BRC - STR - 06</t>
  </si>
  <si>
    <t>BRC - STR - 07</t>
  </si>
  <si>
    <t>BRC - STR - 08</t>
  </si>
  <si>
    <t>BRC - STR - 09</t>
  </si>
  <si>
    <t>BRC - TW - 02</t>
  </si>
  <si>
    <t>BRC - TW - 03</t>
  </si>
  <si>
    <t>BRC - TJRO - 02</t>
  </si>
  <si>
    <t>KITARACK</t>
  </si>
  <si>
    <t>STRORAGE REPAIR</t>
  </si>
  <si>
    <t>CRANE, WALL TRAVEL 2T</t>
  </si>
  <si>
    <t>ABUS CRANE</t>
  </si>
  <si>
    <t>WASHING</t>
  </si>
  <si>
    <t>CRANE, WALL TRAVEL 3.2T CAP(span 8000mm)</t>
  </si>
  <si>
    <t>CRANE, WALL TRAVEL 3.2T CAP(span 4000mm)</t>
  </si>
  <si>
    <t>CRANE, WALL TRAVEL 5T CAP (span 8000mm)</t>
  </si>
  <si>
    <t>CRANE, WALL TRAVEL 5T CAP (span 4000mm)</t>
  </si>
  <si>
    <t>CRANE, WALL TRAVEL 7.5T CAP #1</t>
  </si>
  <si>
    <t>DISASSEMBLY bay 1</t>
  </si>
  <si>
    <t>CRANE, WALL TRAVEL 7.5T CAP #2</t>
  </si>
  <si>
    <t>CRANE,OVERHEAD 3.2T CAP</t>
  </si>
  <si>
    <t>TEST BENCH PT</t>
  </si>
  <si>
    <t>OVERHEAD CRANE</t>
  </si>
  <si>
    <t>CRANE,OVERHEAD 10T CAP</t>
  </si>
  <si>
    <t>FORKLIFT PATRIA PFD50TL-1_008</t>
  </si>
  <si>
    <t>FORKLIFT PATRIA PFD100TL-1_001</t>
  </si>
  <si>
    <t>FORKLIFT PATRIA PFD30C-1_033</t>
  </si>
  <si>
    <t>10 BAR (145 Psig)</t>
  </si>
  <si>
    <t>GANTRY AFTER REPAIR</t>
  </si>
  <si>
    <t>AFTER REPAIR</t>
  </si>
  <si>
    <t>FORKLIFT PATRIA PFD50TL-1_006</t>
  </si>
  <si>
    <t>ex mutasi LATI</t>
  </si>
  <si>
    <t>sertifikat wait submit</t>
  </si>
  <si>
    <t>BRC-HP-05</t>
  </si>
  <si>
    <t>PRE WASHING</t>
  </si>
  <si>
    <t>BM - MH - 01</t>
  </si>
  <si>
    <t>HAND PALLET ELECTRIC</t>
  </si>
  <si>
    <t>BRC - ETF - 001</t>
  </si>
  <si>
    <t>FORKLIFT ELECTRIC KOMATSU FB18_001</t>
  </si>
  <si>
    <t>KOMATSU</t>
  </si>
  <si>
    <t>BRC - SA - 02</t>
  </si>
  <si>
    <t>BRC - ETF - 002</t>
  </si>
  <si>
    <t>ASSEMBLY (BAY 4)</t>
  </si>
  <si>
    <t>BIP</t>
  </si>
  <si>
    <t>ASSEMBLY (BAY 15)</t>
  </si>
  <si>
    <t>BRC - HP - 02</t>
  </si>
  <si>
    <t>BRC - JP - 03</t>
  </si>
  <si>
    <t>KRISBOW</t>
  </si>
  <si>
    <t>BRC - SRL - 01</t>
  </si>
  <si>
    <t>TEST BENCH</t>
  </si>
  <si>
    <t>1KG/ 14 Psig</t>
  </si>
  <si>
    <t>3/8 inch</t>
  </si>
  <si>
    <t>BRC - LB - 01 - 22</t>
  </si>
  <si>
    <t>1/2 inch</t>
  </si>
  <si>
    <t>3/4 inch</t>
  </si>
  <si>
    <t>1-1/4 inch</t>
  </si>
  <si>
    <t>HC</t>
  </si>
  <si>
    <t>BRC - EB - 01 - 42</t>
  </si>
  <si>
    <t>10 mm</t>
  </si>
  <si>
    <t>12 mm</t>
  </si>
  <si>
    <t>16 mm</t>
  </si>
  <si>
    <t>5/8 inch</t>
  </si>
  <si>
    <t>18 mm</t>
  </si>
  <si>
    <t>20 mm</t>
  </si>
  <si>
    <t>7/8 inch</t>
  </si>
  <si>
    <t>24 mm</t>
  </si>
  <si>
    <t>1 inch</t>
  </si>
  <si>
    <t>30 mm</t>
  </si>
  <si>
    <t>1-1/8 inch</t>
  </si>
  <si>
    <t>BRC - RG - 01 - 06</t>
  </si>
  <si>
    <t>PWB</t>
  </si>
  <si>
    <t>BRC - SC - 01 - 15</t>
  </si>
  <si>
    <t>TITAN</t>
  </si>
  <si>
    <t>YOKE</t>
  </si>
  <si>
    <t>BRC - SP - 01 - 09</t>
  </si>
  <si>
    <t>FORKLIFT ELECTRIC KOMATSU FB18_004</t>
  </si>
  <si>
    <t>EKATAMA</t>
  </si>
  <si>
    <t>EXTENSION FORKLIFT LONG</t>
  </si>
  <si>
    <t>BRC - ST - 02</t>
  </si>
  <si>
    <t>BRC - ST - 05</t>
  </si>
  <si>
    <t>BRC - ST - 06</t>
  </si>
  <si>
    <t>BRC - ST - 07</t>
  </si>
  <si>
    <t>BRC - ST - 08</t>
  </si>
  <si>
    <t>BRC - ST - 09</t>
  </si>
  <si>
    <t>BRC - ST - 12</t>
  </si>
  <si>
    <t>BRC - ST - 13</t>
  </si>
  <si>
    <t>FATOOLS</t>
  </si>
  <si>
    <t>BRC - ST - 14</t>
  </si>
  <si>
    <t>No.</t>
  </si>
  <si>
    <t>DESCRIPTION SPECIAL TOOL</t>
  </si>
  <si>
    <t>Nama Alat ukur</t>
  </si>
  <si>
    <t>ID ASSET</t>
  </si>
  <si>
    <t>EXPIRE DATE</t>
  </si>
  <si>
    <t>QTY</t>
  </si>
  <si>
    <t>PO</t>
  </si>
  <si>
    <t>Submit To Vendor</t>
  </si>
  <si>
    <t>Supply from Vendor</t>
  </si>
  <si>
    <t>Status</t>
  </si>
  <si>
    <t>Tahap</t>
  </si>
  <si>
    <t>Sertifikat</t>
  </si>
  <si>
    <t>Keterangan</t>
  </si>
  <si>
    <t>Measurment</t>
  </si>
  <si>
    <t>MICRO METER     0 - 25        MM</t>
  </si>
  <si>
    <t>Mitutoyo</t>
  </si>
  <si>
    <t>BRC-ST-077</t>
  </si>
  <si>
    <t>Tri Artha Manunggal</t>
  </si>
  <si>
    <t>OK</t>
  </si>
  <si>
    <t>MICRO METER    25 - 50       MM</t>
  </si>
  <si>
    <t>BRC-ST-078</t>
  </si>
  <si>
    <t>MICRO METER   ,50 - 75       MM</t>
  </si>
  <si>
    <t>BRC-ST-287</t>
  </si>
  <si>
    <t>MICRO METER   ,75 - 100     MM</t>
  </si>
  <si>
    <t>BRC-ST-291</t>
  </si>
  <si>
    <t>MICRO METER   ,100 - 125   MM</t>
  </si>
  <si>
    <t>BRC-ST-081</t>
  </si>
  <si>
    <t>MICRO METER,   125 - 150   MM</t>
  </si>
  <si>
    <t>BRC-ST-082</t>
  </si>
  <si>
    <t>MICRO METER,150 - 175      MM</t>
  </si>
  <si>
    <t>BRC-ST-092</t>
  </si>
  <si>
    <t>CLOSE</t>
  </si>
  <si>
    <t>aktual sudah dikirim tahap 1 (Maret 2026)</t>
  </si>
  <si>
    <t>MICRO METER,175 - 200      MM</t>
  </si>
  <si>
    <t>BRC-ST-090</t>
  </si>
  <si>
    <t>MICRO METER,300 - 400      MM</t>
  </si>
  <si>
    <t>BRC-ST-119</t>
  </si>
  <si>
    <t>MICRO METER,100 - 200      MM</t>
  </si>
  <si>
    <t>BRC-ST-093</t>
  </si>
  <si>
    <t>BORE GAUGE,35 - 60 MM</t>
  </si>
  <si>
    <t>BRC-ST-298</t>
  </si>
  <si>
    <t>OPEN</t>
  </si>
  <si>
    <t>BORE GAUGE,50 - 150 MM</t>
  </si>
  <si>
    <t>BRC-ST-299</t>
  </si>
  <si>
    <t>DIAL VERNIER CALIPER 0-200 MM / 0.01MM</t>
  </si>
  <si>
    <t>BRC-ST-268</t>
  </si>
  <si>
    <t>DEEP CALIPER DIGITAL 0-300 MM / 0.05MM</t>
  </si>
  <si>
    <t>BRC-ST-315</t>
  </si>
  <si>
    <t>VERNIER  CALIPER,DIG,ABS,0-100/0.01MM</t>
  </si>
  <si>
    <t>BRC-ST-311</t>
  </si>
  <si>
    <t>trial free</t>
  </si>
  <si>
    <t>Esa Jaya Kalibrasi</t>
  </si>
  <si>
    <t>MICRO METER,TUBULAR,50 - 1000 MM</t>
  </si>
  <si>
    <t>BRC-ST-198</t>
  </si>
  <si>
    <t>BRC-ST-303</t>
  </si>
  <si>
    <t>BRC-ST-304</t>
  </si>
  <si>
    <t>BRC-ST-305</t>
  </si>
  <si>
    <t>BRC-ST-292</t>
  </si>
  <si>
    <t>BRC-ST-306</t>
  </si>
  <si>
    <t>BRC-ST-307</t>
  </si>
  <si>
    <t>BRC-ST-083</t>
  </si>
  <si>
    <t>BRC-ST-309</t>
  </si>
  <si>
    <t>BRC-ST-317</t>
  </si>
  <si>
    <t>BRC-ST-308</t>
  </si>
  <si>
    <t>BRC-ST-088</t>
  </si>
  <si>
    <t>masuk lagi di tahap 4</t>
  </si>
  <si>
    <t>BRC-ST-300</t>
  </si>
  <si>
    <t>BRC-ST-278</t>
  </si>
  <si>
    <t>BRC-ST-146</t>
  </si>
  <si>
    <t>VERNIER  CALIPER,DIG,ABS,0-300/0.01 MM</t>
  </si>
  <si>
    <t>BRC-ST-310</t>
  </si>
  <si>
    <t>BRC-ST-302</t>
  </si>
  <si>
    <t>MICRO METER,      0 - 150   MM</t>
  </si>
  <si>
    <t>BRC-ST-328</t>
  </si>
  <si>
    <t>BRC-ST-080</t>
  </si>
  <si>
    <t>Hard Kopy belum diterima</t>
  </si>
  <si>
    <t>MICRO METER,200 - 225      MM</t>
  </si>
  <si>
    <t>BRC-ST-096</t>
  </si>
  <si>
    <t>MICRO METER,225 - 250      MM</t>
  </si>
  <si>
    <t>BRC-ST-094</t>
  </si>
  <si>
    <t>MICRO METER,250 - 275      MM</t>
  </si>
  <si>
    <t>BRC-ST-097</t>
  </si>
  <si>
    <t>MICRO METER,275 - 300      MM</t>
  </si>
  <si>
    <t>BRC-ST-095</t>
  </si>
  <si>
    <t>BRC-ST-320</t>
  </si>
  <si>
    <t>MICRO METER,200 - 300      MM</t>
  </si>
  <si>
    <t>BRC-ST-316</t>
  </si>
  <si>
    <t>Ok</t>
  </si>
  <si>
    <t>Ok done Revisi</t>
  </si>
  <si>
    <t>hard Kopy belum terima</t>
  </si>
  <si>
    <t>BORE GAUGE,18 - 35 MM</t>
  </si>
  <si>
    <t>BRC-ST-089</t>
  </si>
  <si>
    <t>0-10mm/0,01 mm</t>
  </si>
  <si>
    <t>BORE GAUGE,160 - 250 MM</t>
  </si>
  <si>
    <t>BRC-ST-087</t>
  </si>
  <si>
    <t>BORE GAUGE,250 - 400 MM</t>
  </si>
  <si>
    <t>BRC-ST-086</t>
  </si>
  <si>
    <t>DEEP GAUGE 0-100/0.01 MM</t>
  </si>
  <si>
    <t>BRC-ST-254</t>
  </si>
  <si>
    <t>0-25mm/0,01 mm</t>
  </si>
  <si>
    <t>Aktual yang diterima vendor 25 MM</t>
  </si>
  <si>
    <t>NEED P1</t>
  </si>
  <si>
    <t>BRC-ST-314</t>
  </si>
  <si>
    <t>Tidak ada</t>
  </si>
  <si>
    <t>MICRO METER,  400 - 500    MM</t>
  </si>
  <si>
    <t>BRC-ST-240</t>
  </si>
  <si>
    <t>MICRO METER,500 - 600      MM</t>
  </si>
  <si>
    <t>BRC-ST-290</t>
  </si>
  <si>
    <t>MICRO METER,600 - 700      MM</t>
  </si>
  <si>
    <t>BRC-ST-241</t>
  </si>
  <si>
    <t>MICRO METER 700 - 800      MM</t>
  </si>
  <si>
    <t>BRC-ST-011-10-0423</t>
  </si>
  <si>
    <t>MICRO METER 800 - 900      MM</t>
  </si>
  <si>
    <t>BRC-ST-012-10-0424</t>
  </si>
  <si>
    <t>BORE GAUGE,100 - 160 MM</t>
  </si>
  <si>
    <t>BRC-ST-085</t>
  </si>
  <si>
    <t>DIAL GAUGE MAGNETIC SET,23</t>
  </si>
  <si>
    <t>FLOW METER ,1IN,FILL-RITE</t>
  </si>
  <si>
    <t>VERNIER CALIPER 0-500 MM / 0.05MM</t>
  </si>
  <si>
    <t>BRC-ST-120</t>
  </si>
  <si>
    <t>disertifikat 0-600/0,05</t>
  </si>
  <si>
    <t>Yang diterima Vendor 0-600/0,05</t>
  </si>
  <si>
    <t>TICKNES TOOL,PENGUKUR KETEBALAN</t>
  </si>
  <si>
    <t>STATUS SERTIFIKASI</t>
  </si>
  <si>
    <t>Qty</t>
  </si>
  <si>
    <t>Count of KODE ASET</t>
  </si>
  <si>
    <t>TOTAL ASET</t>
  </si>
  <si>
    <t>SWL (KG)</t>
  </si>
  <si>
    <t xml:space="preserve">Gantry 01 ( 5 ton ) </t>
  </si>
  <si>
    <t>STAND ASS.DISS ASS FD DIFF</t>
  </si>
  <si>
    <t>BAYS 5 ASS</t>
  </si>
  <si>
    <t>Puller H-Frame Press HYD, Presh 3</t>
  </si>
  <si>
    <t>Bays Assb</t>
  </si>
  <si>
    <t>Puller H-Frame Press HYD, Presh 4 (30 Ton)</t>
  </si>
  <si>
    <t>Scissors Lift 01</t>
  </si>
  <si>
    <t>STAND ASS.DISS ASS FD DIFF MEJA PRESS</t>
  </si>
  <si>
    <t>STAND ASS.DISS ASS FD DIFF MEJA</t>
  </si>
  <si>
    <t>BAYS 3 ASS</t>
  </si>
  <si>
    <t>BAYS 15 ASS</t>
  </si>
  <si>
    <t>STAND ASS.DISS ASS FD DIFF MEJA PRESS NEW</t>
  </si>
  <si>
    <t>BAYS 6 ASS</t>
  </si>
  <si>
    <t>HAND PALLET 3 TON 685X1220MM</t>
  </si>
  <si>
    <t>ASS</t>
  </si>
  <si>
    <t>HAND PALLET 3 TON 685X1220MM NEW</t>
  </si>
  <si>
    <t>Compressor 02/ Tabung,01.1165ss</t>
  </si>
  <si>
    <t>BAYS 7 ASS</t>
  </si>
  <si>
    <t>BRC-ST-186</t>
  </si>
  <si>
    <t>STAND ASS.DISS ASS ENGINE ROLL</t>
  </si>
  <si>
    <t>BAYS 8 ASS</t>
  </si>
  <si>
    <t>BAYS 4 ASS</t>
  </si>
  <si>
    <t>BAYS 2 ASS</t>
  </si>
  <si>
    <t>BAYS 1 ASS</t>
  </si>
  <si>
    <t>BAYS 1 DISS</t>
  </si>
  <si>
    <t>BAYS 17 ASS</t>
  </si>
  <si>
    <t>STAND ASS.DISS ASS FD DIFF MEJA KERJA</t>
  </si>
  <si>
    <t>BRC - ETF - 01</t>
  </si>
  <si>
    <t>BRC - ETF - 02</t>
  </si>
  <si>
    <t>Bays 1,2 Disassy</t>
  </si>
  <si>
    <t>Bays 3,4 Disassy</t>
  </si>
  <si>
    <t xml:space="preserve">OHC 09 ( 2 ton) </t>
  </si>
  <si>
    <t>Bays Diss</t>
  </si>
  <si>
    <t xml:space="preserve">OHC 10 ( 2 ton ) </t>
  </si>
  <si>
    <t>Compressor 01 / Tabung 01,02.1165x1650ss</t>
  </si>
  <si>
    <t>WS BRC</t>
  </si>
  <si>
    <t>BRC-ST-027-10-0595</t>
  </si>
  <si>
    <t>STAND-OVERHOUL ENGINE HD785</t>
  </si>
  <si>
    <t>BRC-ST-028-10-0596</t>
  </si>
  <si>
    <t>BRC-ST-029-10-0597</t>
  </si>
  <si>
    <t>STAND-OVERHOUL TRANSMISSION HD785</t>
  </si>
  <si>
    <t>BRC-ST-030-10-0598</t>
  </si>
  <si>
    <t>BRC-ST-032-10-0682</t>
  </si>
  <si>
    <t>JACK 150 TON</t>
  </si>
  <si>
    <t>BRC-ST-313</t>
  </si>
  <si>
    <t>STAND DISASSY TRANSMISSION</t>
  </si>
  <si>
    <t>GRACE TECHNIC</t>
  </si>
  <si>
    <t>Test Bend Engine</t>
  </si>
  <si>
    <t>Test Bend Room</t>
  </si>
  <si>
    <t>Test Bend Module</t>
  </si>
  <si>
    <t>Tools Washing Hot Tank RDAP16001</t>
  </si>
  <si>
    <t>Washing Cleaning</t>
  </si>
  <si>
    <t xml:space="preserve"> Tools Washing Handbook RDAP14001</t>
  </si>
  <si>
    <t xml:space="preserve"> Tools Washing Heater HTAP55001</t>
  </si>
  <si>
    <t xml:space="preserve"> Tools Washing TeresCleaning</t>
  </si>
  <si>
    <t>Tools High Pressure 1</t>
  </si>
  <si>
    <t>Tools High Pressure 2 (LAMA)</t>
  </si>
  <si>
    <t xml:space="preserve"> Puller H-Frame Press HYD, Presh 2  150 ton</t>
  </si>
  <si>
    <t>Oil Traip Bak 1,2,3,4,5</t>
  </si>
  <si>
    <t>Oil Traip Bak Filtering 1,2 pemakaian air/liter</t>
  </si>
  <si>
    <t>Oil traip bak DISS  01202</t>
  </si>
  <si>
    <t>Pre cleaning diss.</t>
  </si>
  <si>
    <t>Painting room fasilitas</t>
  </si>
  <si>
    <t>painting</t>
  </si>
  <si>
    <t xml:space="preserve"> Puller H-Frame Press HYD, Presh 1  200 ton</t>
  </si>
  <si>
    <t>MESIN BUBUT 1</t>
  </si>
  <si>
    <t>MESIN BUBUT 2</t>
  </si>
  <si>
    <t>MESIN MELLING DRILLING</t>
  </si>
  <si>
    <t>Rantai sling/ chank 01</t>
  </si>
  <si>
    <t>BAYS 10 ASS. stock</t>
  </si>
  <si>
    <t>Rantai sling/ chank 02 ohc  swl 5 ton</t>
  </si>
  <si>
    <t>BAYS 5,6,7</t>
  </si>
  <si>
    <t>Rantai sling/ chank 03 ohc swl 5 ton</t>
  </si>
  <si>
    <t>BAYS c/valve</t>
  </si>
  <si>
    <t>Rantai sling/ chank 04 ohc swl 3,2 ton</t>
  </si>
  <si>
    <t>BAYS 1,2,3,4</t>
  </si>
  <si>
    <t>Rantai sling/ chank 05 ohc swl 3,2 ton</t>
  </si>
  <si>
    <t>BAYS 16,17 ASS</t>
  </si>
  <si>
    <t>Rantai sling/ chank 06 ohc swl 10 ton</t>
  </si>
  <si>
    <t>BAYS 1sd10</t>
  </si>
  <si>
    <t>Rantai sling/ chank 07 ohc swl 7,5 ton</t>
  </si>
  <si>
    <t>BAYS 3 DISS</t>
  </si>
  <si>
    <t>Rantai sling/ chank 08 ohc swl 3,2 ton</t>
  </si>
  <si>
    <t>Rantai sling/ chank 09 ohc swl 7,5 ton</t>
  </si>
  <si>
    <t>Rantai sling/ chank 10 ohc swl 2 ton</t>
  </si>
  <si>
    <t>WASHING bays2</t>
  </si>
  <si>
    <t>Rantai sling/ chank 11 ohc swl 2 ton</t>
  </si>
  <si>
    <t>bays diss,4,5</t>
  </si>
  <si>
    <t>Rantai sling/ chank 12</t>
  </si>
  <si>
    <t>Rantai sling/ chank 13</t>
  </si>
  <si>
    <t>Rantai sling/ chank 14</t>
  </si>
  <si>
    <t>Rantai sling/ chank 15</t>
  </si>
  <si>
    <t>Rantai sling/ chank 16</t>
  </si>
  <si>
    <t>DRC stock</t>
  </si>
  <si>
    <t>BRC - ST - 17</t>
  </si>
  <si>
    <t>BRC - ST - 18</t>
  </si>
  <si>
    <t>MONITORING ASSET BRC     Bulan JULI 2025</t>
  </si>
  <si>
    <t>NO UNIT</t>
  </si>
  <si>
    <t>UNIT HM</t>
  </si>
  <si>
    <t>JUNI 2025</t>
  </si>
  <si>
    <t>TGL EXPIRED</t>
  </si>
  <si>
    <t xml:space="preserve">HM AKHIR </t>
  </si>
  <si>
    <t>KET</t>
  </si>
  <si>
    <t xml:space="preserve">OHC 01 (10 ton) </t>
  </si>
  <si>
    <t>EXPIRED 10/12/25</t>
  </si>
  <si>
    <t>V</t>
  </si>
  <si>
    <t xml:space="preserve">OHC 02  (5 ton) </t>
  </si>
  <si>
    <t xml:space="preserve">OHC 03 (5 ton) </t>
  </si>
  <si>
    <t xml:space="preserve">OHC 04 (3,2 ton) </t>
  </si>
  <si>
    <t xml:space="preserve">OHC 05 (3,2 ton) </t>
  </si>
  <si>
    <t xml:space="preserve">OHC 06 (7,5 ton) </t>
  </si>
  <si>
    <t>Bays 1,2 Diss</t>
  </si>
  <si>
    <t xml:space="preserve">OHC 07 (7,5 ton) </t>
  </si>
  <si>
    <t>Bays 3,4 Diss</t>
  </si>
  <si>
    <t xml:space="preserve">OHC 08 (3,2 ton)  </t>
  </si>
  <si>
    <t>Test Bend</t>
  </si>
  <si>
    <t>EXPIRED 16/02/25</t>
  </si>
  <si>
    <t>EXPIRED 09/01/26</t>
  </si>
  <si>
    <t>EXPIRED 19/10/25</t>
  </si>
  <si>
    <t>Forklif 5 ton(FL50008)</t>
  </si>
  <si>
    <t>Forklif 10 TON FL10001 (buma)</t>
  </si>
  <si>
    <t>Forklif 3 ton  028</t>
  </si>
  <si>
    <t>EXPIRED 03/01/24</t>
  </si>
  <si>
    <t>BD</t>
  </si>
  <si>
    <t>Forklif 3 ton 033</t>
  </si>
  <si>
    <t>Forklif 1,8 ton ELC FLKM10004</t>
  </si>
  <si>
    <t>EXPIRED 09/10/25</t>
  </si>
  <si>
    <t>Warehouse</t>
  </si>
  <si>
    <t>Forklif 1,8 ton ELC  FLKM18001</t>
  </si>
  <si>
    <t>EXCAVATOR.EXKM20145</t>
  </si>
  <si>
    <t>ERC</t>
  </si>
  <si>
    <t>DOZER BDKM83227</t>
  </si>
  <si>
    <t>S</t>
  </si>
  <si>
    <t>COMPACTOR RSK17</t>
  </si>
  <si>
    <t>TRUCK. TSHN065</t>
  </si>
  <si>
    <t>FEUL TRUCK FTHN26023</t>
  </si>
  <si>
    <t>v</t>
  </si>
  <si>
    <t>WASHING TRUCK WSHN2635</t>
  </si>
  <si>
    <t>WASHING MOTOR 01</t>
  </si>
  <si>
    <t>WASHING MOTOR 02</t>
  </si>
  <si>
    <t>na</t>
  </si>
  <si>
    <t>tc</t>
  </si>
  <si>
    <t>tm</t>
  </si>
  <si>
    <t xml:space="preserve"> Tools Washing Hot Tank RDAP16001</t>
  </si>
  <si>
    <t>no label</t>
  </si>
  <si>
    <t>TO VENDOR</t>
  </si>
  <si>
    <t>NA</t>
  </si>
  <si>
    <t xml:space="preserve"> Puller H-Frame Press HYD, Presh 3</t>
  </si>
  <si>
    <t>EXPIRED 09/09/25</t>
  </si>
  <si>
    <t xml:space="preserve"> Puller H-Frame Press HYD, Presh 4 (30 Ton)</t>
  </si>
  <si>
    <t>O</t>
  </si>
  <si>
    <t>Monthly check VISUAL kip tanggal.8/6/25</t>
  </si>
  <si>
    <t>EXPIRED 03/12/25</t>
  </si>
  <si>
    <t>EXPIRED 30/05/25</t>
  </si>
  <si>
    <t xml:space="preserve">STAND ASS.DISS ASS  DIFF ROLL OVER.01 </t>
  </si>
  <si>
    <t>STAND ASS.DISS ASS  DIFF ROLL OVER.02</t>
  </si>
  <si>
    <t>HAND PALLET 3 TON 550X1220MM</t>
  </si>
  <si>
    <t>10 ton</t>
  </si>
  <si>
    <t>Kwartal check per 3 bulan  JULI.AGT.SEP</t>
  </si>
  <si>
    <t>ACTUAL CHECK TGL910/1/25</t>
  </si>
  <si>
    <t xml:space="preserve"> 5,5 ton</t>
  </si>
  <si>
    <t>1,2 ton</t>
  </si>
  <si>
    <t>5,5 ton</t>
  </si>
  <si>
    <t>2,6 ton</t>
  </si>
  <si>
    <t>2 ton</t>
  </si>
  <si>
    <t>Rantai pengikat</t>
  </si>
  <si>
    <t>ACTUAL CHECK TGL7/7/25</t>
  </si>
  <si>
    <t>RAK COMPONEN  3LINE</t>
  </si>
  <si>
    <t>6. SIGMENT</t>
  </si>
  <si>
    <t>4   SIGMENT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</si>
</sst>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sz val="9"/>
      <name val="Times New Roman"/>
      <family val="1"/>
    </font>
    <font>
      <sz val="9"/>
      <name val="Tahoma"/>
      <family val="2"/>
    </font>
    <font>
      <b/>
      <sz val="9"/>
      <name val="Times New Roman"/>
      <family val="1"/>
    </font>
    <font>
      <b/>
      <sz val="9"/>
      <name val="Tahoma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19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22" fillId="0" borderId="0"/>
  </cellStyleXfs>
  <cellXfs count="20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14" fontId="7" fillId="10" borderId="1" xfId="0" applyNumberFormat="1" applyFont="1" applyFill="1" applyBorder="1" applyAlignment="1">
      <alignment horizontal="center"/>
    </xf>
    <xf numFmtId="0" fontId="0" fillId="7" borderId="0" xfId="0" applyFill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3" fillId="0" borderId="0" xfId="0" applyFont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3" fillId="5" borderId="1" xfId="0" applyFont="1" applyFill="1" applyBorder="1" applyAlignment="1">
      <alignment horizontal="center"/>
    </xf>
    <xf numFmtId="14" fontId="13" fillId="0" borderId="1" xfId="0" applyNumberFormat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164" fontId="13" fillId="0" borderId="0" xfId="0" applyNumberFormat="1" applyFont="1"/>
    <xf numFmtId="164" fontId="13" fillId="5" borderId="1" xfId="0" applyNumberFormat="1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164" fontId="15" fillId="5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5" borderId="1" xfId="0" applyFont="1" applyFill="1" applyBorder="1" applyAlignment="1">
      <alignment horizontal="left"/>
    </xf>
    <xf numFmtId="0" fontId="15" fillId="5" borderId="1" xfId="0" applyFont="1" applyFill="1" applyBorder="1"/>
    <xf numFmtId="0" fontId="15" fillId="5" borderId="1" xfId="0" applyFont="1" applyFill="1" applyBorder="1" applyAlignment="1">
      <alignment horizontal="center"/>
    </xf>
    <xf numFmtId="164" fontId="15" fillId="12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9" fillId="0" borderId="1" xfId="1" applyBorder="1" applyAlignment="1">
      <alignment horizontal="center" vertical="center"/>
    </xf>
    <xf numFmtId="0" fontId="19" fillId="5" borderId="1" xfId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5" borderId="1" xfId="0" applyFont="1" applyFill="1" applyBorder="1"/>
    <xf numFmtId="49" fontId="13" fillId="5" borderId="1" xfId="0" applyNumberFormat="1" applyFont="1" applyFill="1" applyBorder="1" applyAlignment="1">
      <alignment horizontal="center"/>
    </xf>
    <xf numFmtId="0" fontId="13" fillId="5" borderId="0" xfId="0" applyFont="1" applyFill="1"/>
    <xf numFmtId="1" fontId="13" fillId="5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0" xfId="0" applyNumberFormat="1" applyFont="1"/>
    <xf numFmtId="0" fontId="13" fillId="13" borderId="1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left"/>
    </xf>
    <xf numFmtId="0" fontId="15" fillId="13" borderId="1" xfId="0" applyFont="1" applyFill="1" applyBorder="1" applyAlignment="1">
      <alignment horizontal="center"/>
    </xf>
    <xf numFmtId="164" fontId="13" fillId="13" borderId="1" xfId="0" applyNumberFormat="1" applyFont="1" applyFill="1" applyBorder="1" applyAlignment="1">
      <alignment horizontal="center"/>
    </xf>
    <xf numFmtId="0" fontId="13" fillId="1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13" fillId="0" borderId="6" xfId="0" applyFont="1" applyBorder="1" applyAlignment="1">
      <alignment horizontal="center"/>
    </xf>
    <xf numFmtId="0" fontId="13" fillId="13" borderId="6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9" fillId="5" borderId="3" xfId="1" applyFill="1" applyBorder="1" applyAlignment="1">
      <alignment horizontal="center" vertical="center"/>
    </xf>
    <xf numFmtId="0" fontId="19" fillId="0" borderId="3" xfId="1" applyBorder="1" applyAlignment="1">
      <alignment horizontal="center" vertical="center"/>
    </xf>
    <xf numFmtId="0" fontId="19" fillId="0" borderId="3" xfId="1" applyBorder="1" applyAlignment="1">
      <alignment horizontal="center"/>
    </xf>
    <xf numFmtId="0" fontId="19" fillId="13" borderId="3" xfId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vertical="center"/>
    </xf>
    <xf numFmtId="0" fontId="17" fillId="2" borderId="9" xfId="0" applyFont="1" applyFill="1" applyBorder="1" applyAlignment="1">
      <alignment horizontal="center" vertical="center"/>
    </xf>
    <xf numFmtId="164" fontId="17" fillId="2" borderId="5" xfId="0" applyNumberFormat="1" applyFont="1" applyFill="1" applyBorder="1" applyAlignment="1">
      <alignment horizontal="center" vertical="center"/>
    </xf>
    <xf numFmtId="164" fontId="17" fillId="2" borderId="9" xfId="0" applyNumberFormat="1" applyFont="1" applyFill="1" applyBorder="1" applyAlignment="1">
      <alignment horizontal="center" vertical="center"/>
    </xf>
    <xf numFmtId="164" fontId="17" fillId="2" borderId="9" xfId="0" applyNumberFormat="1" applyFont="1" applyFill="1" applyBorder="1" applyAlignment="1">
      <alignment horizontal="center" vertical="center" wrapText="1"/>
    </xf>
    <xf numFmtId="1" fontId="17" fillId="2" borderId="9" xfId="0" applyNumberFormat="1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/>
    </xf>
    <xf numFmtId="9" fontId="0" fillId="0" borderId="0" xfId="2" applyFont="1"/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vertical="top"/>
    </xf>
    <xf numFmtId="0" fontId="0" fillId="0" borderId="1" xfId="0" pivotButton="1" applyBorder="1"/>
    <xf numFmtId="0" fontId="20" fillId="0" borderId="0" xfId="3" applyFont="1"/>
    <xf numFmtId="0" fontId="20" fillId="0" borderId="0" xfId="3" applyFont="1" applyAlignment="1">
      <alignment horizontal="center" vertical="center"/>
    </xf>
    <xf numFmtId="0" fontId="25" fillId="14" borderId="1" xfId="3" applyFont="1" applyFill="1" applyBorder="1" applyAlignment="1">
      <alignment horizontal="center" vertical="center"/>
    </xf>
    <xf numFmtId="0" fontId="25" fillId="14" borderId="1" xfId="3" applyFont="1" applyFill="1" applyBorder="1" applyAlignment="1">
      <alignment horizontal="center" vertical="center" wrapText="1"/>
    </xf>
    <xf numFmtId="0" fontId="27" fillId="14" borderId="1" xfId="3" applyFont="1" applyFill="1" applyBorder="1" applyAlignment="1">
      <alignment horizontal="center" vertical="center" wrapText="1"/>
    </xf>
    <xf numFmtId="0" fontId="27" fillId="14" borderId="6" xfId="3" applyFont="1" applyFill="1" applyBorder="1" applyAlignment="1">
      <alignment horizontal="center" vertical="center" wrapText="1"/>
    </xf>
    <xf numFmtId="0" fontId="25" fillId="14" borderId="1" xfId="3" applyFont="1" applyFill="1" applyBorder="1" applyAlignment="1">
      <alignment vertical="center"/>
    </xf>
    <xf numFmtId="0" fontId="20" fillId="0" borderId="1" xfId="3" applyFont="1" applyBorder="1" applyAlignment="1">
      <alignment horizontal="center" vertical="center"/>
    </xf>
    <xf numFmtId="16" fontId="20" fillId="0" borderId="1" xfId="3" applyNumberFormat="1" applyFont="1" applyBorder="1" applyAlignment="1">
      <alignment horizontal="center"/>
    </xf>
    <xf numFmtId="0" fontId="20" fillId="0" borderId="1" xfId="3" applyFont="1" applyBorder="1" applyAlignment="1">
      <alignment horizontal="center"/>
    </xf>
    <xf numFmtId="16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20" fillId="16" borderId="1" xfId="3" applyFont="1" applyFill="1" applyBorder="1" applyAlignment="1">
      <alignment horizontal="center" vertical="center"/>
    </xf>
    <xf numFmtId="0" fontId="20" fillId="17" borderId="1" xfId="3" applyFont="1" applyFill="1" applyBorder="1" applyAlignment="1">
      <alignment horizontal="center" vertical="center"/>
    </xf>
    <xf numFmtId="164" fontId="20" fillId="0" borderId="1" xfId="3" applyNumberFormat="1" applyFont="1" applyBorder="1" applyAlignment="1">
      <alignment horizontal="center"/>
    </xf>
    <xf numFmtId="164" fontId="6" fillId="0" borderId="1" xfId="3" applyNumberFormat="1" applyFont="1" applyBorder="1" applyAlignment="1">
      <alignment horizontal="center" vertical="center"/>
    </xf>
    <xf numFmtId="164" fontId="20" fillId="0" borderId="0" xfId="3" applyNumberFormat="1" applyFont="1"/>
    <xf numFmtId="0" fontId="13" fillId="12" borderId="6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 vertical="center"/>
    </xf>
    <xf numFmtId="0" fontId="13" fillId="12" borderId="1" xfId="0" applyFont="1" applyFill="1" applyBorder="1"/>
    <xf numFmtId="164" fontId="13" fillId="12" borderId="1" xfId="0" applyNumberFormat="1" applyFont="1" applyFill="1" applyBorder="1" applyAlignment="1">
      <alignment horizontal="center"/>
    </xf>
    <xf numFmtId="1" fontId="13" fillId="12" borderId="1" xfId="0" applyNumberFormat="1" applyFont="1" applyFill="1" applyBorder="1" applyAlignment="1">
      <alignment horizontal="center"/>
    </xf>
    <xf numFmtId="0" fontId="13" fillId="12" borderId="0" xfId="0" applyFont="1" applyFill="1"/>
    <xf numFmtId="0" fontId="20" fillId="5" borderId="1" xfId="3" applyFont="1" applyFill="1" applyBorder="1" applyAlignment="1">
      <alignment horizontal="center" vertical="center"/>
    </xf>
    <xf numFmtId="0" fontId="29" fillId="0" borderId="0" xfId="0" applyFont="1"/>
    <xf numFmtId="0" fontId="20" fillId="3" borderId="1" xfId="3" applyFont="1" applyFill="1" applyBorder="1" applyAlignment="1">
      <alignment horizontal="center" vertical="center"/>
    </xf>
    <xf numFmtId="0" fontId="20" fillId="0" borderId="6" xfId="3" applyFont="1" applyBorder="1"/>
    <xf numFmtId="164" fontId="26" fillId="15" borderId="1" xfId="3" applyNumberFormat="1" applyFont="1" applyFill="1" applyBorder="1" applyAlignment="1">
      <alignment horizontal="center" vertical="center" wrapText="1"/>
    </xf>
    <xf numFmtId="164" fontId="25" fillId="14" borderId="1" xfId="3" applyNumberFormat="1" applyFont="1" applyFill="1" applyBorder="1" applyAlignment="1">
      <alignment vertical="center"/>
    </xf>
    <xf numFmtId="0" fontId="25" fillId="14" borderId="3" xfId="3" applyFont="1" applyFill="1" applyBorder="1" applyAlignment="1">
      <alignment horizontal="center" vertical="center" wrapText="1"/>
    </xf>
    <xf numFmtId="0" fontId="28" fillId="14" borderId="3" xfId="3" applyFont="1" applyFill="1" applyBorder="1" applyAlignment="1">
      <alignment vertical="center" wrapText="1"/>
    </xf>
    <xf numFmtId="0" fontId="20" fillId="5" borderId="3" xfId="3" applyFont="1" applyFill="1" applyBorder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164" fontId="20" fillId="0" borderId="5" xfId="3" applyNumberFormat="1" applyFont="1" applyBorder="1" applyAlignment="1">
      <alignment horizontal="center"/>
    </xf>
    <xf numFmtId="0" fontId="20" fillId="0" borderId="5" xfId="3" applyFont="1" applyBorder="1" applyAlignment="1">
      <alignment horizontal="center"/>
    </xf>
    <xf numFmtId="16" fontId="20" fillId="0" borderId="5" xfId="3" applyNumberFormat="1" applyFont="1" applyBorder="1" applyAlignment="1">
      <alignment horizontal="center"/>
    </xf>
    <xf numFmtId="0" fontId="20" fillId="5" borderId="5" xfId="3" applyFont="1" applyFill="1" applyBorder="1" applyAlignment="1">
      <alignment horizontal="center" vertical="center"/>
    </xf>
    <xf numFmtId="164" fontId="6" fillId="0" borderId="5" xfId="3" applyNumberFormat="1" applyFont="1" applyBorder="1" applyAlignment="1">
      <alignment horizontal="center" vertical="center"/>
    </xf>
    <xf numFmtId="16" fontId="6" fillId="0" borderId="5" xfId="3" applyNumberFormat="1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20" fillId="0" borderId="1" xfId="3" applyFont="1" applyBorder="1"/>
    <xf numFmtId="0" fontId="20" fillId="3" borderId="1" xfId="3" applyFont="1" applyFill="1" applyBorder="1"/>
    <xf numFmtId="0" fontId="20" fillId="5" borderId="1" xfId="3" applyFont="1" applyFill="1" applyBorder="1"/>
    <xf numFmtId="0" fontId="20" fillId="12" borderId="5" xfId="3" applyFont="1" applyFill="1" applyBorder="1" applyAlignment="1">
      <alignment horizontal="center" vertical="center"/>
    </xf>
    <xf numFmtId="0" fontId="20" fillId="12" borderId="1" xfId="3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30" fillId="18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164" fontId="20" fillId="5" borderId="1" xfId="0" applyNumberFormat="1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1" fillId="0" borderId="5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164" fontId="31" fillId="0" borderId="1" xfId="0" applyNumberFormat="1" applyFont="1" applyBorder="1" applyAlignment="1">
      <alignment horizontal="center"/>
    </xf>
    <xf numFmtId="164" fontId="31" fillId="0" borderId="1" xfId="0" applyNumberFormat="1" applyFont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15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0" xfId="0" applyFont="1"/>
    <xf numFmtId="9" fontId="33" fillId="0" borderId="0" xfId="2" applyFont="1"/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2" fontId="6" fillId="5" borderId="1" xfId="0" applyNumberFormat="1" applyFont="1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3C38AB1E-BCCF-43BA-8375-8C452496E397}"/>
    <cellStyle name="Percent" xfId="2" builtinId="5"/>
  </cellStyles>
  <dxfs count="6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d\-mmm\-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d\-mmm\-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d\-mmm\-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d\-mmm\-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3999450666829432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SCHEDULE SERTIFIKASI PERALATAN.xlsx]PVT!PivotTable1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B23D779-08E8-40E8-913B-49F99844EDF5}" type="CELLRANGE">
                  <a:rPr lang="en-US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9459097333112504E-3"/>
              <c:y val="-6.5145834802513951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18C4C0F2-DE36-4C16-8FEC-E57BD7B68E66}" type="CELLRANGE">
                  <a:rPr lang="en-US"/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F8C664AB-AC3E-47F3-8854-4D561D401D85}" type="CELLRANGE">
                  <a:rPr lang="en-US"/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dLbl>
          <c:idx val="0"/>
          <c:tx>
            <c:rich>
              <a:bodyPr/>
              <a:lstStyle/>
              <a:p>
                <a:endParaRPr lang="en-US"/>
              </a:p>
            </c:rich>
          </c:tx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  <c15:showDataLabelsRange val="1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PVT!$C$10:$C$12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43E-4343-9B3B-B0638A825C64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3E-4343-9B3B-B0638A825C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43E-4343-9B3B-B0638A825C64}"/>
              </c:ext>
            </c:extLst>
          </c:dPt>
          <c:dLbls>
            <c:dLbl>
              <c:idx val="0"/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B23D779-08E8-40E8-913B-49F99844EDF5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D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43E-4343-9B3B-B0638A825C64}"/>
                </c:ext>
              </c:extLst>
            </c:dLbl>
            <c:dLbl>
              <c:idx val="1"/>
              <c:layout>
                <c:manualLayout>
                  <c:x val="8.9459097333112504E-3"/>
                  <c:y val="-6.5145834802513951E-3"/>
                </c:manualLayout>
              </c:layout>
              <c:tx>
                <c:rich>
                  <a:bodyPr/>
                  <a:lstStyle/>
                  <a:p>
                    <a:fld id="{18C4C0F2-DE36-4C16-8FEC-E57BD7B68E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43E-4343-9B3B-B0638A825C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PVT!$C$10:$C$12</c:f>
              <c:strCache>
                <c:ptCount val="2"/>
                <c:pt idx="0">
                  <c:v>AKTIF</c:v>
                </c:pt>
                <c:pt idx="1">
                  <c:v>EXPIRED</c:v>
                </c:pt>
              </c:strCache>
            </c:strRef>
          </c:cat>
          <c:val>
            <c:numRef>
              <c:f>PVT!$C$10:$C$12</c:f>
              <c:numCache>
                <c:formatCode>General</c:formatCode>
                <c:ptCount val="2"/>
                <c:pt idx="0">
                  <c:v>232</c:v>
                </c:pt>
                <c:pt idx="1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PVT!$C$10:$C$12</c15:f>
                <c15:dlblRangeCache>
                  <c:ptCount val="3"/>
                  <c:pt idx="0">
                    <c:v>99%</c:v>
                  </c:pt>
                  <c:pt idx="1">
                    <c:v>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43E-4343-9B3B-B0638A825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13</xdr:row>
      <xdr:rowOff>71436</xdr:rowOff>
    </xdr:from>
    <xdr:to>
      <xdr:col>9</xdr:col>
      <xdr:colOff>47625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E63B5C-7037-6F59-8139-4A0BBCBAF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ad Musyafa Ali" refreshedDate="45983.583257638886" createdVersion="8" refreshedVersion="8" minRefreshableVersion="3" recordCount="236" xr:uid="{CF6013C9-5FC5-47A6-8094-38CD64C5662C}">
  <cacheSource type="worksheet">
    <worksheetSource name="SERTIFIKASI_ALAT"/>
  </cacheSource>
  <cacheFields count="15">
    <cacheField name="NO " numFmtId="0">
      <sharedItems containsNonDate="0" containsString="0" containsBlank="1"/>
    </cacheField>
    <cacheField name="KODE ASET" numFmtId="0">
      <sharedItems containsBlank="1" containsMixedTypes="1" containsNumber="1" containsInteger="1" minValue="7710" maxValue="7710"/>
    </cacheField>
    <cacheField name="DESCRIPTION" numFmtId="0">
      <sharedItems/>
    </cacheField>
    <cacheField name="SWL (KG)" numFmtId="0">
      <sharedItems containsBlank="1" containsMixedTypes="1" containsNumber="1" containsInteger="1" minValue="100" maxValue="150000"/>
    </cacheField>
    <cacheField name="SIZE / KAPASITAS" numFmtId="0">
      <sharedItems containsBlank="1"/>
    </cacheField>
    <cacheField name="MASA BERLAKU" numFmtId="164">
      <sharedItems containsNonDate="0" containsDate="1" containsString="0" containsBlank="1" minDate="2025-01-05T00:00:00" maxDate="2026-11-12T00:00:00"/>
    </cacheField>
    <cacheField name="STATUS" numFmtId="164">
      <sharedItems containsBlank="1" count="4">
        <s v="AKTIF"/>
        <m/>
        <s v="EXPIRED"/>
        <s v="PENGAJUAN BARU"/>
      </sharedItems>
    </cacheField>
    <cacheField name="LAST INSPECTION" numFmtId="164">
      <sharedItems containsNonDate="0" containsDate="1" containsString="0" containsBlank="1" minDate="2025-08-31T00:00:00" maxDate="2025-11-19T00:00:00"/>
    </cacheField>
    <cacheField name="RENCANA PEMERIKSAAN" numFmtId="164">
      <sharedItems containsNonDate="0" containsDate="1" containsString="0" containsBlank="1" minDate="2025-01-02T00:00:00" maxDate="2026-09-20T00:00:00"/>
    </cacheField>
    <cacheField name="PR" numFmtId="0">
      <sharedItems containsString="0" containsBlank="1" containsNumber="1" containsInteger="1" minValue="1010280232" maxValue="1010282621"/>
    </cacheField>
    <cacheField name="PO" numFmtId="0">
      <sharedItems containsString="0" containsBlank="1" containsNumber="1" containsInteger="1" minValue="4010359799" maxValue="4010363923"/>
    </cacheField>
    <cacheField name="LOKASI" numFmtId="0">
      <sharedItems containsBlank="1"/>
    </cacheField>
    <cacheField name="BRAND" numFmtId="0">
      <sharedItems containsBlank="1"/>
    </cacheField>
    <cacheField name="REMARK" numFmtId="0">
      <sharedItems containsBlank="1"/>
    </cacheField>
    <cacheField name="LINK  PDF" numFmtId="0">
      <sharedItems containsBlank="1" containsMixedTypes="1" containsNumber="1" containsInteger="1" minValue="7701" maxValue="77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ad Musyafa Ali" refreshedDate="45988.444791319445" createdVersion="8" refreshedVersion="8" minRefreshableVersion="3" recordCount="235" xr:uid="{7F593255-B300-4179-8E2C-A9367A6C96C5}">
  <cacheSource type="worksheet">
    <worksheetSource ref="B1:O227" sheet="DATA"/>
  </cacheSource>
  <cacheFields count="13">
    <cacheField name="KODE ASET" numFmtId="0">
      <sharedItems containsMixedTypes="1" containsNumber="1" containsInteger="1" minValue="7709" maxValue="7710"/>
    </cacheField>
    <cacheField name="DESCRIPTION" numFmtId="0">
      <sharedItems/>
    </cacheField>
    <cacheField name="SWL (KG)" numFmtId="0">
      <sharedItems containsBlank="1" containsMixedTypes="1" containsNumber="1" containsInteger="1" minValue="100" maxValue="150000"/>
    </cacheField>
    <cacheField name="SIZE / KAPASITAS" numFmtId="0">
      <sharedItems containsBlank="1"/>
    </cacheField>
    <cacheField name="MASA BERLAKU" numFmtId="164">
      <sharedItems containsSemiMixedTypes="0" containsNonDate="0" containsDate="1" containsString="0" minDate="2025-04-30T00:00:00" maxDate="2026-11-19T00:00:00"/>
    </cacheField>
    <cacheField name="STATUS" numFmtId="164">
      <sharedItems containsBlank="1" count="3">
        <s v="EXPIRED"/>
        <s v="AKTIF"/>
        <m u="1"/>
      </sharedItems>
    </cacheField>
    <cacheField name="LAST INSPECTION" numFmtId="164">
      <sharedItems containsNonDate="0" containsDate="1" containsString="0" containsBlank="1" minDate="2025-08-31T00:00:00" maxDate="2025-11-19T00:00:00"/>
    </cacheField>
    <cacheField name="RENCANA PEMERIKSAAN" numFmtId="164">
      <sharedItems containsNonDate="0" containsDate="1" containsString="0" containsBlank="1" minDate="2025-11-19T00:00:00" maxDate="2026-09-20T00:00:00"/>
    </cacheField>
    <cacheField name="PR" numFmtId="0">
      <sharedItems containsString="0" containsBlank="1" containsNumber="1" containsInteger="1" minValue="1010280232" maxValue="1010282621"/>
    </cacheField>
    <cacheField name="PO" numFmtId="0">
      <sharedItems containsString="0" containsBlank="1" containsNumber="1" containsInteger="1" minValue="4010359799" maxValue="4010363923"/>
    </cacheField>
    <cacheField name="LOKASI" numFmtId="0">
      <sharedItems containsBlank="1"/>
    </cacheField>
    <cacheField name="BRAND" numFmtId="0">
      <sharedItems containsBlank="1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ad Musyafa Ali" refreshedDate="46134.398235300927" createdVersion="8" refreshedVersion="8" minRefreshableVersion="3" recordCount="240" xr:uid="{58EA8222-F632-44B7-AF97-67F45A8B7366}">
  <cacheSource type="worksheet">
    <worksheetSource ref="D1:D1048576" sheet="DATA"/>
  </cacheSource>
  <cacheFields count="1">
    <cacheField name="CATEGORY" numFmtId="0">
      <sharedItems containsBlank="1" count="36">
        <m/>
        <s v="JACK PRESS"/>
        <s v="EXTENSION FORKLIFT"/>
        <s v="STAND ASSEMBLY"/>
        <s v="ROLLOVER STAND"/>
        <s v="HAND PALLET"/>
        <s v="MAN LIFT"/>
        <s v="STAND TEST BENCH FINAL DRIVE"/>
        <s v="TEST LEAKING CYLINDER HEAD "/>
        <s v="LINK BRACKET"/>
        <s v="EYE BOLT"/>
        <s v="RING GEAR 785-7"/>
        <s v="SHACKLE"/>
        <s v="SWIPEL"/>
        <s v="FORKLIFT"/>
        <s v="SCISSOR LIFT"/>
        <s v="JACK BOTTLE "/>
        <s v="STAND ENGINE "/>
        <s v="HYDRAULIC JACK"/>
        <s v="CHAIN SLING"/>
        <s v="AIR COMPRESSOR PORTABLE"/>
        <s v="TOOL JACK &amp; ROLL OVER STAND ENGINE"/>
        <s v="Fuel Tank  "/>
        <s v="Fuel Skid 1000 L"/>
        <s v="STAND JACK"/>
        <s v="AIR COMPRESSOR"/>
        <s v="STAND TRANSMISSION"/>
        <s v="TABLE WORK"/>
        <s v="RACK REPAIR HEAVY DUTY"/>
        <s v="CRANE TRAVEL"/>
        <s v="OHC"/>
        <s v="AIR RECIEVER TANK"/>
        <s v="GANTRY CRANE"/>
        <s v="FORKLIFT ELECTRIC KOMATSU FB18_001" u="1"/>
        <s v="AIR COMPRESSOR ATLAS COPCO RS37IE" u="1"/>
        <s v="FORKLIFT PATRIA PFD30C-1_028" u="1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ad Musyafa Ali" refreshedDate="46295.618147685185" createdVersion="8" refreshedVersion="8" minRefreshableVersion="3" recordCount="262" xr:uid="{E1E8F1EF-94CD-4E4F-AF1C-9CFC4E826C09}">
  <cacheSource type="worksheet">
    <worksheetSource ref="A1:Q1048576" sheet="RAW DATA"/>
  </cacheSource>
  <cacheFields count="17">
    <cacheField name="No" numFmtId="0">
      <sharedItems containsNonDate="0" containsString="0" containsBlank="1"/>
    </cacheField>
    <cacheField name="Item no. / Asset No." numFmtId="0">
      <sharedItems containsBlank="1" containsMixedTypes="1" containsNumber="1" containsInteger="1" minValue="7709" maxValue="7710"/>
    </cacheField>
    <cacheField name="Category" numFmtId="0">
      <sharedItems containsBlank="1"/>
    </cacheField>
    <cacheField name="SWL Capacity  (Ton)" numFmtId="0">
      <sharedItems containsString="0" containsBlank="1" containsNumber="1" minValue="0" maxValue="200"/>
    </cacheField>
    <cacheField name="Location" numFmtId="0">
      <sharedItems containsBlank="1"/>
    </cacheField>
    <cacheField name="Last Insp. Date" numFmtId="0">
      <sharedItems containsNonDate="0" containsDate="1" containsString="0" containsBlank="1" minDate="2025-11-13T00:00:00" maxDate="2026-10-01T00:00:00"/>
    </cacheField>
    <cacheField name="Certification No." numFmtId="0">
      <sharedItems containsBlank="1"/>
    </cacheField>
    <cacheField name="Expired Date" numFmtId="0">
      <sharedItems containsNonDate="0" containsDate="1" containsString="0" containsBlank="1" minDate="2026-11-11T00:00:00" maxDate="2027-10-01T00:00:00"/>
    </cacheField>
    <cacheField name="Vendor" numFmtId="0">
      <sharedItems containsBlank="1"/>
    </cacheField>
    <cacheField name="Days after Last Insp. Date" numFmtId="0">
      <sharedItems containsString="0" containsBlank="1" containsNumber="1" containsInteger="1" minValue="0" maxValue="321"/>
    </cacheField>
    <cacheField name="Days before Exp. Date" numFmtId="0">
      <sharedItems containsString="0" containsBlank="1" containsNumber="1" containsInteger="1" minValue="42" maxValue="365"/>
    </cacheField>
    <cacheField name="Exp. Date Remarks" numFmtId="0">
      <sharedItems containsBlank="1"/>
    </cacheField>
    <cacheField name="Inspection Remarks" numFmtId="0">
      <sharedItems containsBlank="1" count="5">
        <s v="1. Certified"/>
        <s v="4. Prepare for Certification"/>
        <m/>
        <s v="3. Need Certification" u="1"/>
        <s v="2. Need Inspect" u="1"/>
      </sharedItems>
    </cacheField>
    <cacheField name="Actual Condition" numFmtId="0">
      <sharedItems containsBlank="1"/>
    </cacheField>
    <cacheField name="Link Sertifikat" numFmtId="0">
      <sharedItems containsNonDate="0" containsString="0" containsBlank="1"/>
    </cacheField>
    <cacheField name="Remark" numFmtId="0">
      <sharedItems containsBlank="1"/>
    </cacheField>
    <cacheField name="Last PR/PO" numFmtId="0">
      <sharedItems containsString="0" containsBlank="1" containsNumber="1" containsInteger="1" minValue="4010392940" maxValue="40103946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m/>
    <s v="FLPT30028"/>
    <s v="FORKLIFT PATRIA PFD30C-1_028"/>
    <n v="3000"/>
    <m/>
    <d v="2025-11-18T00:00:00"/>
    <x v="0"/>
    <d v="2025-11-18T00:00:00"/>
    <m/>
    <n v="1010281132"/>
    <n v="4010359820"/>
    <s v="BRC"/>
    <s v="PATRIA"/>
    <m/>
    <m/>
  </r>
  <r>
    <m/>
    <s v="BRC-LB-01"/>
    <s v="LINK BRACKET"/>
    <n v="1021"/>
    <s v="3/8 inch"/>
    <d v="2026-09-09T00:00:00"/>
    <x v="0"/>
    <d v="2025-09-11T00:00:00"/>
    <m/>
    <m/>
    <m/>
    <s v="TOOL ROOM"/>
    <s v="CATERPILLAR"/>
    <s v="BRC - LB - 01 - 22"/>
    <m/>
  </r>
  <r>
    <m/>
    <s v="BRC-LB-02"/>
    <s v="LINK BRACKET"/>
    <n v="1021"/>
    <s v="3/8 inch"/>
    <d v="2026-09-09T00:00:00"/>
    <x v="0"/>
    <d v="2025-09-11T00:00:00"/>
    <m/>
    <m/>
    <m/>
    <s v="TOOL ROOM"/>
    <s v="CATERPILLAR"/>
    <s v="BRC - LB - 01 - 22"/>
    <m/>
  </r>
  <r>
    <m/>
    <s v="BRC-LB-03"/>
    <s v="LINK BRACKET"/>
    <n v="1021"/>
    <s v="3/8 inch"/>
    <d v="2026-09-09T00:00:00"/>
    <x v="0"/>
    <d v="2025-09-11T00:00:00"/>
    <m/>
    <m/>
    <m/>
    <s v="TOOL ROOM"/>
    <s v="CATERPILLAR"/>
    <s v="BRC - LB - 01 - 22"/>
    <m/>
  </r>
  <r>
    <m/>
    <s v="BRC-LB-04"/>
    <s v="LINK BRACKET"/>
    <n v="1021"/>
    <s v="3/8 inch"/>
    <d v="2026-09-09T00:00:00"/>
    <x v="0"/>
    <d v="2025-09-11T00:00:00"/>
    <m/>
    <m/>
    <m/>
    <s v="TOOL ROOM"/>
    <s v="CATERPILLAR"/>
    <s v="BRC - LB - 01 - 22"/>
    <m/>
  </r>
  <r>
    <m/>
    <s v="BRC-LB-05"/>
    <s v="LINK BRACKET"/>
    <n v="1814"/>
    <s v="1/2 inch"/>
    <d v="2026-09-09T00:00:00"/>
    <x v="0"/>
    <d v="2025-09-11T00:00:00"/>
    <m/>
    <m/>
    <m/>
    <s v="TOOL ROOM"/>
    <s v="CATERPILLAR"/>
    <s v="BRC - LB - 01 - 22"/>
    <m/>
  </r>
  <r>
    <m/>
    <s v="BRC-LB-06"/>
    <s v="LINK BRACKET"/>
    <n v="1814"/>
    <s v="1/2 inch"/>
    <d v="2026-09-09T00:00:00"/>
    <x v="0"/>
    <d v="2025-09-11T00:00:00"/>
    <m/>
    <m/>
    <m/>
    <s v="TOOL ROOM"/>
    <s v="CATERPILLAR"/>
    <s v="BRC - LB - 01 - 22"/>
    <m/>
  </r>
  <r>
    <m/>
    <s v="BRC-LB-07"/>
    <s v="LINK BRACKET"/>
    <n v="1814"/>
    <s v="1/2 inch"/>
    <d v="2026-09-09T00:00:00"/>
    <x v="0"/>
    <d v="2025-09-11T00:00:00"/>
    <m/>
    <m/>
    <m/>
    <s v="TOOL ROOM"/>
    <s v="CATERPILLAR"/>
    <s v="BRC - LB - 01 - 22"/>
    <m/>
  </r>
  <r>
    <m/>
    <s v="BRC-LB-08"/>
    <s v="LINK BRACKET"/>
    <n v="1814"/>
    <s v="1/2 inch"/>
    <d v="2026-09-09T00:00:00"/>
    <x v="0"/>
    <d v="2025-09-11T00:00:00"/>
    <m/>
    <m/>
    <m/>
    <s v="TOOL ROOM"/>
    <s v="CATERPILLAR"/>
    <s v="BRC - LB - 01 - 22"/>
    <m/>
  </r>
  <r>
    <m/>
    <s v="BRC-LB-09"/>
    <s v="LINK BRACKET"/>
    <n v="1814"/>
    <s v="1/2 inch"/>
    <d v="2026-09-09T00:00:00"/>
    <x v="0"/>
    <d v="2025-09-11T00:00:00"/>
    <m/>
    <m/>
    <m/>
    <s v="TOOL ROOM"/>
    <s v="CATERPILLAR"/>
    <s v="BRC - LB - 01 - 22"/>
    <m/>
  </r>
  <r>
    <m/>
    <s v="BRC-LB-10"/>
    <s v="LINK BRACKET"/>
    <n v="1814"/>
    <s v="1/2 inch"/>
    <d v="2026-09-09T00:00:00"/>
    <x v="0"/>
    <d v="2025-09-11T00:00:00"/>
    <m/>
    <m/>
    <m/>
    <s v="TOOL ROOM"/>
    <s v="CATERPILLAR"/>
    <s v="BRC - LB - 01 - 22"/>
    <m/>
  </r>
  <r>
    <m/>
    <s v="BRC-LB-11"/>
    <s v="LINK BRACKET"/>
    <n v="1814"/>
    <s v="1/2 inch"/>
    <d v="2026-09-09T00:00:00"/>
    <x v="0"/>
    <d v="2025-09-11T00:00:00"/>
    <m/>
    <m/>
    <m/>
    <s v="TOOL ROOM"/>
    <s v="CATERPILLAR"/>
    <s v="BRC - LB - 01 - 22"/>
    <m/>
  </r>
  <r>
    <m/>
    <s v="BRC-LB-12"/>
    <s v="LINK BRACKET"/>
    <n v="4082"/>
    <s v="3/4 inch"/>
    <d v="2026-09-09T00:00:00"/>
    <x v="0"/>
    <d v="2025-09-11T00:00:00"/>
    <m/>
    <m/>
    <m/>
    <s v="TOOL ROOM"/>
    <s v="CATERPILLAR"/>
    <s v="BRC - LB - 01 - 22"/>
    <m/>
  </r>
  <r>
    <m/>
    <s v="BRC-LB-13"/>
    <s v="LINK BRACKET"/>
    <n v="4082"/>
    <s v="3/4 inch"/>
    <d v="2026-09-09T00:00:00"/>
    <x v="0"/>
    <d v="2025-09-11T00:00:00"/>
    <m/>
    <m/>
    <m/>
    <s v="TOOL ROOM"/>
    <s v="CATERPILLAR"/>
    <s v="BRC - LB - 01 - 22"/>
    <m/>
  </r>
  <r>
    <m/>
    <s v="BRC-LB-14"/>
    <s v="LINK BRACKET"/>
    <n v="4082"/>
    <s v="3/4 inch"/>
    <d v="2026-09-09T00:00:00"/>
    <x v="0"/>
    <d v="2025-09-11T00:00:00"/>
    <m/>
    <m/>
    <m/>
    <s v="TOOL ROOM"/>
    <s v="CATERPILLAR"/>
    <s v="BRC - LB - 01 - 22"/>
    <m/>
  </r>
  <r>
    <m/>
    <s v="BRC-LB-15"/>
    <s v="LINK BRACKET"/>
    <n v="4082"/>
    <s v="3/4 inch"/>
    <d v="2026-09-09T00:00:00"/>
    <x v="0"/>
    <d v="2025-09-11T00:00:00"/>
    <m/>
    <m/>
    <m/>
    <s v="TOOL ROOM"/>
    <s v="CATERPILLAR"/>
    <s v="BRC - LB - 01 - 22"/>
    <m/>
  </r>
  <r>
    <m/>
    <s v="BRC-LB-16"/>
    <s v="LINK BRACKET"/>
    <n v="4082"/>
    <s v="3/4 inch"/>
    <d v="2026-09-09T00:00:00"/>
    <x v="0"/>
    <d v="2025-09-11T00:00:00"/>
    <m/>
    <m/>
    <m/>
    <s v="TOOL ROOM"/>
    <s v="CATERPILLAR"/>
    <s v="BRC - LB - 01 - 22"/>
    <m/>
  </r>
  <r>
    <m/>
    <s v="BRC-LB-17"/>
    <s v="LINK BRACKET"/>
    <n v="4082"/>
    <s v="1-1/4 inch"/>
    <d v="2026-09-09T00:00:00"/>
    <x v="0"/>
    <d v="2025-09-11T00:00:00"/>
    <m/>
    <m/>
    <m/>
    <s v="TOOL ROOM"/>
    <s v="CATERPILLAR"/>
    <s v="BRC - LB - 01 - 22"/>
    <m/>
  </r>
  <r>
    <m/>
    <s v="BRC-LB-18"/>
    <s v="LINK BRACKET"/>
    <n v="4082"/>
    <s v="1-1/4 inch"/>
    <d v="2026-09-09T00:00:00"/>
    <x v="0"/>
    <d v="2025-09-11T00:00:00"/>
    <m/>
    <m/>
    <m/>
    <s v="TOOL ROOM"/>
    <s v="CATERPILLAR"/>
    <s v="BRC - LB - 01 - 22"/>
    <m/>
  </r>
  <r>
    <m/>
    <s v="BRC-LB-19"/>
    <s v="LINK BRACKET"/>
    <n v="4082"/>
    <s v="1-1/4 inch"/>
    <d v="2026-09-09T00:00:00"/>
    <x v="0"/>
    <d v="2025-09-11T00:00:00"/>
    <m/>
    <m/>
    <m/>
    <s v="TOOL ROOM"/>
    <s v="CATERPILLAR"/>
    <s v="BRC - LB - 01 - 22"/>
    <m/>
  </r>
  <r>
    <m/>
    <s v="BRC-LB-20"/>
    <s v="LINK BRACKET"/>
    <n v="4082"/>
    <s v="1-1/4 inch"/>
    <d v="2026-09-09T00:00:00"/>
    <x v="0"/>
    <d v="2025-09-11T00:00:00"/>
    <m/>
    <m/>
    <m/>
    <s v="TOOL ROOM"/>
    <s v="CATERPILLAR"/>
    <s v="BRC - LB - 01 - 22"/>
    <m/>
  </r>
  <r>
    <m/>
    <s v="BRC-LB-21"/>
    <s v="LINK BRACKET"/>
    <n v="4082"/>
    <s v="1-1/4 inch"/>
    <d v="2026-09-09T00:00:00"/>
    <x v="0"/>
    <d v="2025-09-11T00:00:00"/>
    <m/>
    <m/>
    <m/>
    <s v="TOOL ROOM"/>
    <s v="CATERPILLAR"/>
    <s v="BRC - LB - 01 - 22"/>
    <m/>
  </r>
  <r>
    <m/>
    <s v="BRC-LB-22"/>
    <s v="LINK BRACKET"/>
    <n v="4082"/>
    <s v="1-1/4 inch"/>
    <d v="2026-09-09T00:00:00"/>
    <x v="0"/>
    <d v="2025-09-11T00:00:00"/>
    <m/>
    <m/>
    <m/>
    <s v="TOOL ROOM"/>
    <s v="CATERPILLAR"/>
    <s v="BRC - LB - 01 - 22"/>
    <m/>
  </r>
  <r>
    <m/>
    <s v="BRC-EB-01"/>
    <s v="EYE BOLT"/>
    <n v="150"/>
    <s v="3/8 inch"/>
    <d v="2026-09-09T00:00:00"/>
    <x v="0"/>
    <d v="2025-09-09T00:00:00"/>
    <m/>
    <m/>
    <m/>
    <s v="TOOL ROOM"/>
    <s v="HC"/>
    <s v="BRC - EB - 01 - 42"/>
    <m/>
  </r>
  <r>
    <m/>
    <s v="BRC-EB-02"/>
    <s v="EYE BOLT"/>
    <n v="150"/>
    <s v="3/8 inch"/>
    <d v="2026-09-09T00:00:00"/>
    <x v="0"/>
    <d v="2025-09-09T00:00:00"/>
    <m/>
    <m/>
    <m/>
    <s v="TOOL ROOM"/>
    <s v="HC"/>
    <s v="BRC - EB - 01 - 42"/>
    <m/>
  </r>
  <r>
    <m/>
    <s v="BRC-EB-03"/>
    <s v="EYE BOLT"/>
    <n v="150"/>
    <s v="3/8 inch"/>
    <d v="2026-09-09T00:00:00"/>
    <x v="0"/>
    <d v="2025-09-09T00:00:00"/>
    <m/>
    <m/>
    <m/>
    <s v="TOOL ROOM"/>
    <s v="HC"/>
    <s v="BRC - EB - 01 - 42"/>
    <m/>
  </r>
  <r>
    <m/>
    <s v="BRC-EB-04"/>
    <s v="EYE BOLT"/>
    <n v="150"/>
    <s v="3/8 inch"/>
    <d v="2026-09-09T00:00:00"/>
    <x v="0"/>
    <d v="2025-09-09T00:00:00"/>
    <m/>
    <m/>
    <m/>
    <s v="TOOL ROOM"/>
    <s v="HC"/>
    <s v="BRC - EB - 01 - 42"/>
    <m/>
  </r>
  <r>
    <m/>
    <s v="BRC-EB-05"/>
    <s v="EYE BOLT"/>
    <n v="150"/>
    <s v="10 mm"/>
    <d v="2026-09-09T00:00:00"/>
    <x v="0"/>
    <d v="2025-09-09T00:00:00"/>
    <m/>
    <m/>
    <m/>
    <s v="TOOL ROOM"/>
    <s v="HC"/>
    <s v="BRC - EB - 01 - 42"/>
    <m/>
  </r>
  <r>
    <m/>
    <s v="BRC-EB-06"/>
    <s v="EYE BOLT"/>
    <n v="150"/>
    <s v="10 mm"/>
    <d v="2026-09-09T00:00:00"/>
    <x v="0"/>
    <d v="2025-09-09T00:00:00"/>
    <m/>
    <m/>
    <m/>
    <s v="TOOL ROOM"/>
    <s v="HC"/>
    <s v="BRC - EB - 01 - 42"/>
    <m/>
  </r>
  <r>
    <m/>
    <s v="BRC-EB-07"/>
    <s v="EYE BOLT"/>
    <n v="150"/>
    <s v="10 mm"/>
    <d v="2026-09-09T00:00:00"/>
    <x v="0"/>
    <d v="2025-09-09T00:00:00"/>
    <m/>
    <m/>
    <m/>
    <s v="TOOL ROOM"/>
    <s v="HC"/>
    <s v="BRC - EB - 01 - 42"/>
    <m/>
  </r>
  <r>
    <m/>
    <s v="BRC-EB-08"/>
    <s v="EYE BOLT"/>
    <n v="220"/>
    <s v="12 mm"/>
    <d v="2026-09-09T00:00:00"/>
    <x v="0"/>
    <d v="2025-09-09T00:00:00"/>
    <m/>
    <m/>
    <m/>
    <s v="TOOL ROOM"/>
    <s v="HC"/>
    <s v="BRC - EB - 01 - 42"/>
    <m/>
  </r>
  <r>
    <m/>
    <s v="BRC-EB-09"/>
    <s v="EYE BOLT"/>
    <n v="220"/>
    <s v="12 mm"/>
    <d v="2026-09-09T00:00:00"/>
    <x v="0"/>
    <d v="2025-09-09T00:00:00"/>
    <m/>
    <m/>
    <m/>
    <s v="TOOL ROOM"/>
    <s v="HC"/>
    <s v="BRC - EB - 01 - 42"/>
    <m/>
  </r>
  <r>
    <m/>
    <s v="BRC-EB-10"/>
    <s v="EYE BOLT"/>
    <n v="220"/>
    <s v="12 mm"/>
    <d v="2026-09-09T00:00:00"/>
    <x v="0"/>
    <d v="2025-09-09T00:00:00"/>
    <m/>
    <m/>
    <m/>
    <s v="TOOL ROOM"/>
    <s v="HC"/>
    <s v="BRC - EB - 01 - 42"/>
    <m/>
  </r>
  <r>
    <m/>
    <s v="BRC-EB-11"/>
    <s v="EYE BOLT"/>
    <n v="450"/>
    <s v="16 mm"/>
    <d v="2026-09-09T00:00:00"/>
    <x v="0"/>
    <d v="2025-09-09T00:00:00"/>
    <m/>
    <m/>
    <m/>
    <s v="TOOL ROOM"/>
    <s v="HC"/>
    <s v="BRC - EB - 01 - 42"/>
    <m/>
  </r>
  <r>
    <m/>
    <s v="BRC-EB-12"/>
    <s v="EYE BOLT"/>
    <n v="450"/>
    <s v="5/8 inch"/>
    <d v="2026-09-09T00:00:00"/>
    <x v="0"/>
    <d v="2025-09-09T00:00:00"/>
    <m/>
    <m/>
    <m/>
    <s v="TOOL ROOM"/>
    <s v="HC"/>
    <s v="BRC - EB - 01 - 42"/>
    <m/>
  </r>
  <r>
    <m/>
    <s v="BRC-EB-13"/>
    <s v="EYE BOLT"/>
    <n v="450"/>
    <s v="5/8 inch"/>
    <d v="2026-09-09T00:00:00"/>
    <x v="0"/>
    <d v="2025-09-09T00:00:00"/>
    <m/>
    <m/>
    <m/>
    <s v="TOOL ROOM"/>
    <s v="HC"/>
    <s v="BRC - EB - 01 - 42"/>
    <m/>
  </r>
  <r>
    <m/>
    <s v="BRC-EB-14"/>
    <s v="EYE BOLT"/>
    <n v="450"/>
    <s v="5/8 inch"/>
    <d v="2026-09-09T00:00:00"/>
    <x v="0"/>
    <d v="2025-09-09T00:00:00"/>
    <m/>
    <m/>
    <m/>
    <s v="TOOL ROOM"/>
    <s v="HC"/>
    <s v="BRC - EB - 01 - 42"/>
    <m/>
  </r>
  <r>
    <m/>
    <s v="BRC-EB-15"/>
    <s v="EYE BOLT"/>
    <n v="630"/>
    <s v="18 mm"/>
    <d v="2026-09-09T00:00:00"/>
    <x v="0"/>
    <d v="2025-09-09T00:00:00"/>
    <m/>
    <m/>
    <m/>
    <s v="TOOL ROOM"/>
    <s v="HC"/>
    <s v="BRC - EB - 01 - 42"/>
    <m/>
  </r>
  <r>
    <m/>
    <s v="BRC-EB-16"/>
    <s v="EYE BOLT"/>
    <n v="630"/>
    <s v="18 mm"/>
    <d v="2026-09-09T00:00:00"/>
    <x v="0"/>
    <d v="2025-09-09T00:00:00"/>
    <m/>
    <m/>
    <m/>
    <s v="TOOL ROOM"/>
    <s v="HC"/>
    <s v="BRC - EB - 01 - 42"/>
    <m/>
  </r>
  <r>
    <m/>
    <s v="BRC-EB-17"/>
    <s v="EYE BOLT"/>
    <n v="630"/>
    <s v="3/4 inch"/>
    <d v="2026-09-09T00:00:00"/>
    <x v="0"/>
    <d v="2025-09-09T00:00:00"/>
    <m/>
    <m/>
    <m/>
    <s v="TOOL ROOM"/>
    <s v="HC"/>
    <s v="BRC - EB - 01 - 42"/>
    <m/>
  </r>
  <r>
    <m/>
    <s v="BRC-EB-18"/>
    <s v="EYE BOLT"/>
    <n v="630"/>
    <s v="3/4 inch"/>
    <d v="2026-09-09T00:00:00"/>
    <x v="0"/>
    <d v="2025-09-09T00:00:00"/>
    <m/>
    <m/>
    <m/>
    <s v="TOOL ROOM"/>
    <s v="HC"/>
    <s v="BRC - EB - 01 - 42"/>
    <m/>
  </r>
  <r>
    <m/>
    <s v="BRC-EB-19"/>
    <s v="EYE BOLT"/>
    <n v="630"/>
    <s v="20 mm"/>
    <d v="2026-09-09T00:00:00"/>
    <x v="0"/>
    <d v="2025-09-09T00:00:00"/>
    <m/>
    <m/>
    <m/>
    <s v="TOOL ROOM"/>
    <s v="HC"/>
    <s v="BRC - EB - 01 - 42"/>
    <m/>
  </r>
  <r>
    <m/>
    <s v="BRC-EB-20"/>
    <s v="EYE BOLT"/>
    <n v="630"/>
    <s v="20 mm"/>
    <d v="2026-09-09T00:00:00"/>
    <x v="0"/>
    <d v="2025-09-09T00:00:00"/>
    <m/>
    <m/>
    <m/>
    <s v="TOOL ROOM"/>
    <s v="HC"/>
    <s v="BRC - EB - 01 - 42"/>
    <m/>
  </r>
  <r>
    <m/>
    <s v="BRC-EB-21"/>
    <s v="EYE BOLT"/>
    <n v="700"/>
    <s v="16 mm"/>
    <d v="2026-09-09T00:00:00"/>
    <x v="0"/>
    <d v="2025-09-09T00:00:00"/>
    <m/>
    <m/>
    <m/>
    <s v="TOOL ROOM"/>
    <s v="HC"/>
    <s v="BRC - EB - 01 - 42"/>
    <m/>
  </r>
  <r>
    <m/>
    <s v="BRC-EB-22"/>
    <s v="EYE BOLT"/>
    <n v="700"/>
    <s v="16 mm"/>
    <d v="2026-09-09T00:00:00"/>
    <x v="0"/>
    <d v="2025-09-09T00:00:00"/>
    <m/>
    <m/>
    <m/>
    <s v="TOOL ROOM"/>
    <s v="HC"/>
    <s v="BRC - EB - 01 - 42"/>
    <m/>
  </r>
  <r>
    <m/>
    <s v="BRC-EB-23"/>
    <s v="EYE BOLT"/>
    <n v="700"/>
    <s v="16 mm"/>
    <d v="2026-09-09T00:00:00"/>
    <x v="0"/>
    <d v="2025-09-09T00:00:00"/>
    <m/>
    <m/>
    <m/>
    <s v="TOOL ROOM"/>
    <s v="HC"/>
    <s v="BRC - EB - 01 - 42"/>
    <m/>
  </r>
  <r>
    <m/>
    <s v="BRC-EB-24"/>
    <s v="EYE BOLT"/>
    <n v="700"/>
    <s v="16 mm"/>
    <d v="2026-09-09T00:00:00"/>
    <x v="0"/>
    <d v="2025-09-09T00:00:00"/>
    <m/>
    <m/>
    <m/>
    <s v="TOOL ROOM"/>
    <s v="HC"/>
    <s v="BRC - EB - 01 - 42"/>
    <m/>
  </r>
  <r>
    <m/>
    <s v="BRC-EB-25"/>
    <s v="EYE BOLT"/>
    <n v="700"/>
    <s v="7/8 inch"/>
    <d v="2026-09-09T00:00:00"/>
    <x v="0"/>
    <d v="2025-09-09T00:00:00"/>
    <m/>
    <m/>
    <m/>
    <s v="TOOL ROOM"/>
    <s v="HC"/>
    <s v="BRC - EB - 01 - 42"/>
    <m/>
  </r>
  <r>
    <m/>
    <s v="BRC-EB-26"/>
    <s v="EYE BOLT"/>
    <n v="700"/>
    <s v="7/8 inch"/>
    <d v="2026-09-09T00:00:00"/>
    <x v="0"/>
    <d v="2025-09-09T00:00:00"/>
    <m/>
    <m/>
    <m/>
    <s v="TOOL ROOM"/>
    <s v="HC"/>
    <s v="BRC - EB - 01 - 42"/>
    <m/>
  </r>
  <r>
    <m/>
    <s v="BRC-EB-27"/>
    <s v="EYE BOLT"/>
    <n v="700"/>
    <s v="7/8 inch"/>
    <d v="2026-09-09T00:00:00"/>
    <x v="0"/>
    <d v="2025-09-09T00:00:00"/>
    <m/>
    <m/>
    <m/>
    <s v="TOOL ROOM"/>
    <s v="HC"/>
    <s v="BRC - EB - 01 - 42"/>
    <m/>
  </r>
  <r>
    <m/>
    <s v="BRC-EB-28"/>
    <s v="EYE BOLT"/>
    <n v="950"/>
    <s v="24 mm"/>
    <d v="2026-09-09T00:00:00"/>
    <x v="0"/>
    <d v="2025-09-09T00:00:00"/>
    <m/>
    <m/>
    <m/>
    <s v="TOOL ROOM"/>
    <s v="HC"/>
    <s v="BRC - EB - 01 - 42"/>
    <m/>
  </r>
  <r>
    <m/>
    <s v="BRC-EB-29"/>
    <s v="EYE BOLT"/>
    <n v="950"/>
    <s v="24 mm"/>
    <d v="2026-09-09T00:00:00"/>
    <x v="0"/>
    <d v="2025-09-09T00:00:00"/>
    <m/>
    <m/>
    <m/>
    <s v="TOOL ROOM"/>
    <s v="HC"/>
    <s v="BRC - EB - 01 - 42"/>
    <m/>
  </r>
  <r>
    <m/>
    <s v="BRC-EB-30"/>
    <s v="EYE BOLT"/>
    <n v="950"/>
    <s v="24 mm"/>
    <d v="2026-09-09T00:00:00"/>
    <x v="0"/>
    <d v="2025-09-09T00:00:00"/>
    <m/>
    <m/>
    <m/>
    <s v="TOOL ROOM"/>
    <s v="HC"/>
    <s v="BRC - EB - 01 - 42"/>
    <m/>
  </r>
  <r>
    <m/>
    <s v="BRC-EB-31"/>
    <s v="EYE BOLT"/>
    <n v="950"/>
    <s v="1 inch"/>
    <d v="2026-09-09T00:00:00"/>
    <x v="0"/>
    <d v="2025-09-09T00:00:00"/>
    <m/>
    <m/>
    <m/>
    <s v="TOOL ROOM"/>
    <s v="HC"/>
    <s v="BRC - EB - 01 - 42"/>
    <m/>
  </r>
  <r>
    <m/>
    <s v="BRC-EB-32"/>
    <s v="EYE BOLT"/>
    <n v="950"/>
    <s v="1 inch"/>
    <d v="2026-09-09T00:00:00"/>
    <x v="0"/>
    <d v="2025-09-09T00:00:00"/>
    <m/>
    <m/>
    <m/>
    <s v="TOOL ROOM"/>
    <s v="HC"/>
    <s v="BRC - EB - 01 - 42"/>
    <m/>
  </r>
  <r>
    <m/>
    <s v="BRC-EB-33"/>
    <s v="EYE BOLT"/>
    <n v="950"/>
    <s v="1 inch"/>
    <d v="2026-09-09T00:00:00"/>
    <x v="0"/>
    <d v="2025-09-09T00:00:00"/>
    <m/>
    <m/>
    <m/>
    <s v="TOOL ROOM"/>
    <s v="HC"/>
    <s v="BRC - EB - 01 - 42"/>
    <m/>
  </r>
  <r>
    <m/>
    <s v="BRC-EB-34"/>
    <s v="EYE BOLT"/>
    <n v="1200"/>
    <s v="3/4 inch"/>
    <d v="2026-09-09T00:00:00"/>
    <x v="0"/>
    <d v="2025-09-09T00:00:00"/>
    <m/>
    <m/>
    <m/>
    <s v="TOOL ROOM"/>
    <s v="HC"/>
    <s v="BRC - EB - 01 - 42"/>
    <m/>
  </r>
  <r>
    <m/>
    <s v="BRC-EB-35"/>
    <s v="EYE BOLT"/>
    <n v="1200"/>
    <s v="3/4 inch"/>
    <d v="2026-09-09T00:00:00"/>
    <x v="0"/>
    <d v="2025-09-09T00:00:00"/>
    <m/>
    <m/>
    <m/>
    <s v="TOOL ROOM"/>
    <s v="HC"/>
    <s v="BRC - EB - 01 - 42"/>
    <m/>
  </r>
  <r>
    <m/>
    <s v="BRC-EB-36"/>
    <s v="EYE BOLT"/>
    <n v="1200"/>
    <s v="20 mm"/>
    <d v="2026-09-09T00:00:00"/>
    <x v="0"/>
    <d v="2025-09-09T00:00:00"/>
    <m/>
    <m/>
    <m/>
    <s v="TOOL ROOM"/>
    <s v="HC"/>
    <s v="BRC - EB - 01 - 42"/>
    <m/>
  </r>
  <r>
    <m/>
    <s v="BRC-EB-37"/>
    <s v="EYE BOLT"/>
    <n v="1500"/>
    <s v="30 mm"/>
    <d v="2026-09-09T00:00:00"/>
    <x v="0"/>
    <d v="2025-09-09T00:00:00"/>
    <m/>
    <m/>
    <m/>
    <s v="TOOL ROOM"/>
    <s v="HC"/>
    <s v="BRC - EB - 01 - 42"/>
    <m/>
  </r>
  <r>
    <m/>
    <s v="BRC-EB-38"/>
    <s v="EYE BOLT"/>
    <n v="1500"/>
    <s v="30 mm"/>
    <d v="2026-09-09T00:00:00"/>
    <x v="0"/>
    <d v="2025-09-09T00:00:00"/>
    <m/>
    <m/>
    <m/>
    <s v="TOOL ROOM"/>
    <s v="HC"/>
    <s v="BRC - EB - 01 - 42"/>
    <m/>
  </r>
  <r>
    <m/>
    <s v="BRC-EB-39"/>
    <s v="EYE BOLT"/>
    <n v="1500"/>
    <s v="30 mm"/>
    <d v="2026-09-09T00:00:00"/>
    <x v="0"/>
    <d v="2025-09-09T00:00:00"/>
    <m/>
    <m/>
    <m/>
    <s v="TOOL ROOM"/>
    <s v="HC"/>
    <s v="BRC - EB - 01 - 42"/>
    <m/>
  </r>
  <r>
    <m/>
    <s v="BRC-EB-40"/>
    <s v="EYE BOLT"/>
    <n v="2700"/>
    <s v="1-1/8 inch"/>
    <d v="2026-09-09T00:00:00"/>
    <x v="0"/>
    <d v="2025-09-09T00:00:00"/>
    <m/>
    <m/>
    <m/>
    <s v="TOOL ROOM"/>
    <s v="HC"/>
    <s v="BRC - EB - 01 - 42"/>
    <m/>
  </r>
  <r>
    <m/>
    <s v="BRC-EB-41"/>
    <s v="EYE BOLT"/>
    <n v="2700"/>
    <s v="1-1/8 inch"/>
    <d v="2026-09-09T00:00:00"/>
    <x v="0"/>
    <d v="2025-09-09T00:00:00"/>
    <m/>
    <m/>
    <m/>
    <s v="TOOL ROOM"/>
    <s v="HC"/>
    <s v="BRC - EB - 01 - 42"/>
    <m/>
  </r>
  <r>
    <m/>
    <s v="BRC-EB-42"/>
    <s v="EYE BOLT"/>
    <n v="2700"/>
    <s v="1-1/8 inch"/>
    <d v="2026-09-09T00:00:00"/>
    <x v="0"/>
    <d v="2025-09-09T00:00:00"/>
    <m/>
    <m/>
    <m/>
    <s v="TOOL ROOM"/>
    <s v="HC"/>
    <s v="BRC - EB - 01 - 42"/>
    <m/>
  </r>
  <r>
    <m/>
    <s v="BRC-RG-01"/>
    <s v="RING GEAR 785-7"/>
    <n v="100"/>
    <m/>
    <d v="2026-09-09T00:00:00"/>
    <x v="0"/>
    <d v="2025-09-09T00:00:00"/>
    <m/>
    <m/>
    <m/>
    <s v="TOOL ROOM"/>
    <m/>
    <s v="BRC - RG - 01 - 06"/>
    <m/>
  </r>
  <r>
    <m/>
    <s v="BRC-RG-02"/>
    <s v="RING GEAR 785-7"/>
    <n v="100"/>
    <m/>
    <d v="2026-09-09T00:00:00"/>
    <x v="0"/>
    <d v="2025-09-09T00:00:00"/>
    <m/>
    <m/>
    <m/>
    <s v="TOOL ROOM"/>
    <m/>
    <s v="BRC - RG - 01 - 06"/>
    <m/>
  </r>
  <r>
    <m/>
    <s v="BRC-RG-03"/>
    <s v="RING GEAR 785-7"/>
    <n v="100"/>
    <m/>
    <d v="2026-09-09T00:00:00"/>
    <x v="0"/>
    <d v="2025-09-09T00:00:00"/>
    <m/>
    <m/>
    <m/>
    <s v="TOOL ROOM"/>
    <m/>
    <s v="BRC - RG - 01 - 06"/>
    <m/>
  </r>
  <r>
    <m/>
    <m/>
    <s v="BRC-RG-04"/>
    <n v="100"/>
    <m/>
    <d v="2025-01-05T00:00:00"/>
    <x v="1"/>
    <m/>
    <m/>
    <n v="1010281980"/>
    <n v="4010363923"/>
    <s v="TOOL ROOM"/>
    <s v="CATERPILLAR"/>
    <s v="AKTUAL TIDAK ADA"/>
    <m/>
  </r>
  <r>
    <m/>
    <m/>
    <s v="BRC-RG-05"/>
    <n v="100"/>
    <m/>
    <d v="2025-01-05T00:00:00"/>
    <x v="1"/>
    <m/>
    <m/>
    <n v="1010281980"/>
    <n v="4010360257"/>
    <s v="TOOL ROOM"/>
    <s v="CATERPILLAR"/>
    <s v="AKTUAL TIDAK ADA"/>
    <m/>
  </r>
  <r>
    <m/>
    <m/>
    <s v="BRC-RG-06"/>
    <n v="100"/>
    <m/>
    <d v="2025-01-05T00:00:00"/>
    <x v="1"/>
    <m/>
    <m/>
    <n v="1010281980"/>
    <n v="4010360257"/>
    <s v="TOOL ROOM"/>
    <s v="CATERPILLAR"/>
    <s v="AKTUAL TIDAK ADA"/>
    <m/>
  </r>
  <r>
    <m/>
    <s v="BRC-SC-01"/>
    <s v="SHACKLE"/>
    <n v="1000"/>
    <s v="3/8 inch"/>
    <d v="2026-09-09T00:00:00"/>
    <x v="0"/>
    <d v="2025-09-09T00:00:00"/>
    <m/>
    <m/>
    <m/>
    <s v="TOOL ROOM"/>
    <s v="PWB"/>
    <s v="BRC - SC - 01 - 15"/>
    <m/>
  </r>
  <r>
    <m/>
    <s v="BRC-SC-02"/>
    <s v="SHACKLE"/>
    <n v="1000"/>
    <s v="3/8 inch"/>
    <d v="2026-09-09T00:00:00"/>
    <x v="0"/>
    <d v="2025-09-09T00:00:00"/>
    <m/>
    <m/>
    <m/>
    <s v="TOOL ROOM"/>
    <s v="PWB"/>
    <s v="BRC - SC - 01 - 15"/>
    <m/>
  </r>
  <r>
    <m/>
    <s v="BRC-SC-03"/>
    <s v="SHACKLE"/>
    <n v="1000"/>
    <s v="3/8 inch"/>
    <d v="2026-09-09T00:00:00"/>
    <x v="0"/>
    <d v="2025-09-09T00:00:00"/>
    <m/>
    <m/>
    <m/>
    <s v="TOOL ROOM"/>
    <s v="PWB"/>
    <s v="BRC - SC - 01 - 15"/>
    <m/>
  </r>
  <r>
    <m/>
    <s v="BRC-SC-04"/>
    <s v="SHACKLE"/>
    <n v="1000"/>
    <s v="3/8 inch"/>
    <d v="2026-09-09T00:00:00"/>
    <x v="0"/>
    <d v="2025-09-09T00:00:00"/>
    <m/>
    <m/>
    <m/>
    <s v="TOOL ROOM"/>
    <s v="PWB"/>
    <s v="BRC - SC - 01 - 15"/>
    <m/>
  </r>
  <r>
    <m/>
    <s v="BRC-SC-05"/>
    <s v="SHACKLE"/>
    <n v="2000"/>
    <s v="1/2 inch"/>
    <d v="2026-09-09T00:00:00"/>
    <x v="0"/>
    <d v="2025-09-09T00:00:00"/>
    <m/>
    <m/>
    <m/>
    <s v="TOOL ROOM"/>
    <s v="TITAN"/>
    <s v="BRC - SC - 01 - 15"/>
    <m/>
  </r>
  <r>
    <m/>
    <s v="BRC-SC-06"/>
    <s v="SHACKLE"/>
    <n v="2000"/>
    <s v="1/2 inch"/>
    <d v="2026-09-09T00:00:00"/>
    <x v="0"/>
    <d v="2025-09-09T00:00:00"/>
    <m/>
    <m/>
    <m/>
    <s v="TOOL ROOM"/>
    <s v="TITAN"/>
    <s v="BRC - SC - 01 - 15"/>
    <m/>
  </r>
  <r>
    <m/>
    <s v="BRC-SC-07"/>
    <s v="SHACKLE"/>
    <n v="2000"/>
    <s v="1/2 inch"/>
    <d v="2026-09-09T00:00:00"/>
    <x v="0"/>
    <d v="2025-09-09T00:00:00"/>
    <m/>
    <m/>
    <m/>
    <s v="TOOL ROOM"/>
    <s v="TITAN"/>
    <s v="BRC - SC - 01 - 15"/>
    <m/>
  </r>
  <r>
    <m/>
    <s v="BRC-SC-08"/>
    <s v="SHACKLE"/>
    <n v="2000"/>
    <s v="1/2 inch"/>
    <d v="2026-09-09T00:00:00"/>
    <x v="0"/>
    <d v="2025-09-09T00:00:00"/>
    <m/>
    <m/>
    <m/>
    <s v="TOOL ROOM"/>
    <s v="TITAN"/>
    <s v="BRC - SC - 01 - 15"/>
    <m/>
  </r>
  <r>
    <m/>
    <s v="BRC-SC-09"/>
    <s v="SHACKLE"/>
    <n v="3250"/>
    <s v="5/8 inch"/>
    <d v="2026-09-09T00:00:00"/>
    <x v="0"/>
    <d v="2025-09-09T00:00:00"/>
    <m/>
    <m/>
    <m/>
    <s v="TOOL ROOM"/>
    <s v="TITAN"/>
    <s v="BRC - SC - 01 - 15"/>
    <m/>
  </r>
  <r>
    <m/>
    <s v="BRC-SC-10"/>
    <s v="SHACKLE"/>
    <n v="3250"/>
    <s v="5/8 inch"/>
    <d v="2026-09-09T00:00:00"/>
    <x v="0"/>
    <d v="2025-09-09T00:00:00"/>
    <m/>
    <m/>
    <m/>
    <s v="TOOL ROOM"/>
    <s v="TITAN"/>
    <s v="BRC - SC - 01 - 15"/>
    <m/>
  </r>
  <r>
    <m/>
    <s v="BRC-SC-11"/>
    <s v="SHACKLE"/>
    <n v="3250"/>
    <s v="5/8 inch"/>
    <d v="2026-09-09T00:00:00"/>
    <x v="0"/>
    <d v="2025-09-09T00:00:00"/>
    <m/>
    <m/>
    <m/>
    <s v="TOOL ROOM"/>
    <s v="TITAN"/>
    <s v="BRC - SC - 01 - 15"/>
    <m/>
  </r>
  <r>
    <m/>
    <s v="BRC-SC-12"/>
    <s v="SHACKLE"/>
    <n v="4750"/>
    <s v="3/4 inch"/>
    <d v="2026-09-09T00:00:00"/>
    <x v="0"/>
    <d v="2025-09-09T00:00:00"/>
    <m/>
    <m/>
    <m/>
    <s v="TOOL ROOM"/>
    <s v="TITAN"/>
    <s v="BRC - SC - 01 - 15"/>
    <m/>
  </r>
  <r>
    <m/>
    <s v="BRC-SC-13"/>
    <s v="SHACKLE"/>
    <n v="4750"/>
    <s v="3/4 inch"/>
    <d v="2026-09-09T00:00:00"/>
    <x v="0"/>
    <d v="2025-09-09T00:00:00"/>
    <m/>
    <m/>
    <m/>
    <s v="TOOL ROOM"/>
    <s v="TITAN"/>
    <s v="BRC - SC - 01 - 15"/>
    <m/>
  </r>
  <r>
    <m/>
    <s v="BRC-SC-14"/>
    <s v="SHACKLE"/>
    <n v="8500"/>
    <s v="1 inch"/>
    <d v="2026-09-09T00:00:00"/>
    <x v="0"/>
    <d v="2025-09-09T00:00:00"/>
    <m/>
    <m/>
    <m/>
    <s v="TOOL ROOM"/>
    <s v="TITAN"/>
    <s v="BRC - SC - 01 - 15"/>
    <m/>
  </r>
  <r>
    <m/>
    <s v="BRC-SC-15"/>
    <s v="SHACKLE"/>
    <n v="8500"/>
    <s v="1 inch"/>
    <d v="2026-09-09T00:00:00"/>
    <x v="0"/>
    <d v="2025-09-09T00:00:00"/>
    <m/>
    <m/>
    <m/>
    <s v="TOOL ROOM"/>
    <s v="TITAN"/>
    <s v="BRC - SC - 01 - 15"/>
    <m/>
  </r>
  <r>
    <m/>
    <s v="BRC-SP-01"/>
    <s v="SWIPEL"/>
    <n v="1500"/>
    <s v="16 mm"/>
    <d v="2026-09-09T00:00:00"/>
    <x v="0"/>
    <d v="2025-09-09T00:00:00"/>
    <m/>
    <m/>
    <m/>
    <s v="TOOL ROOM"/>
    <s v="YOKE"/>
    <s v="BRC - SP - 01 - 09"/>
    <m/>
  </r>
  <r>
    <m/>
    <s v="BRC-SP-02"/>
    <s v="SWIPEL"/>
    <n v="1500"/>
    <s v="16 mm"/>
    <d v="2026-09-09T00:00:00"/>
    <x v="0"/>
    <d v="2025-09-09T00:00:00"/>
    <m/>
    <m/>
    <m/>
    <s v="TOOL ROOM"/>
    <s v="YOKE"/>
    <s v="BRC - SP - 01 - 09"/>
    <m/>
  </r>
  <r>
    <m/>
    <s v="BRC-SP-03"/>
    <s v="SWIPEL"/>
    <n v="1500"/>
    <s v="16 mm"/>
    <d v="2026-09-09T00:00:00"/>
    <x v="0"/>
    <d v="2025-09-09T00:00:00"/>
    <m/>
    <m/>
    <m/>
    <s v="TOOL ROOM"/>
    <s v="YOKE"/>
    <s v="BRC - SP - 01 - 09"/>
    <m/>
  </r>
  <r>
    <m/>
    <s v="BRC-SP-04"/>
    <s v="SWIPEL"/>
    <n v="2500"/>
    <s v="20 mm"/>
    <d v="2026-09-09T00:00:00"/>
    <x v="0"/>
    <d v="2025-09-09T00:00:00"/>
    <m/>
    <m/>
    <m/>
    <s v="TOOL ROOM"/>
    <s v="YOKE"/>
    <s v="BRC - SP - 01 - 09"/>
    <m/>
  </r>
  <r>
    <m/>
    <s v="BRC-SP-05"/>
    <s v="SWIPEL"/>
    <n v="2500"/>
    <s v="20 mm"/>
    <d v="2026-09-09T00:00:00"/>
    <x v="0"/>
    <d v="2025-09-09T00:00:00"/>
    <m/>
    <m/>
    <m/>
    <s v="TOOL ROOM"/>
    <s v="YOKE"/>
    <s v="BRC - SP - 01 - 09"/>
    <m/>
  </r>
  <r>
    <m/>
    <s v="BRC-SP-06"/>
    <s v="SWIPEL"/>
    <n v="2500"/>
    <s v="20 mm"/>
    <d v="2026-09-09T00:00:00"/>
    <x v="0"/>
    <d v="2025-09-09T00:00:00"/>
    <m/>
    <m/>
    <m/>
    <s v="TOOL ROOM"/>
    <s v="YOKE"/>
    <s v="BRC - SP - 01 - 09"/>
    <m/>
  </r>
  <r>
    <m/>
    <s v="BRC-SP-07"/>
    <s v="SWIPEL"/>
    <n v="4000"/>
    <s v="24 mm"/>
    <d v="2026-09-09T00:00:00"/>
    <x v="0"/>
    <d v="2025-09-09T00:00:00"/>
    <m/>
    <m/>
    <m/>
    <s v="TOOL ROOM"/>
    <s v="YOKE"/>
    <s v="BRC - SP - 01 - 09"/>
    <m/>
  </r>
  <r>
    <m/>
    <s v="BRC-SP-08"/>
    <s v="SWIPEL"/>
    <n v="4000"/>
    <s v="24 mm"/>
    <d v="2026-09-09T00:00:00"/>
    <x v="0"/>
    <d v="2025-09-09T00:00:00"/>
    <m/>
    <m/>
    <m/>
    <s v="TOOL ROOM"/>
    <s v="YOKE"/>
    <s v="BRC - SP - 01 - 09"/>
    <m/>
  </r>
  <r>
    <m/>
    <s v="BRC-SP-09"/>
    <s v="SWIPEL"/>
    <n v="4000"/>
    <s v="24 mm"/>
    <d v="2026-09-09T00:00:00"/>
    <x v="0"/>
    <d v="2025-09-09T00:00:00"/>
    <m/>
    <m/>
    <m/>
    <s v="TOOL ROOM"/>
    <s v="YOKE"/>
    <s v="BRC - SP - 01 - 09"/>
    <m/>
  </r>
  <r>
    <m/>
    <s v="BM-ART-02"/>
    <s v="AIR RECIEVER TANK"/>
    <m/>
    <s v="10 BAR (145 Psig)"/>
    <d v="2026-01-15T00:00:00"/>
    <x v="0"/>
    <m/>
    <m/>
    <n v="1010282621"/>
    <n v="4010361029"/>
    <s v="BRC"/>
    <m/>
    <m/>
    <m/>
  </r>
  <r>
    <m/>
    <s v="BM-ART-01"/>
    <s v="AIR RECIEVER TANK"/>
    <m/>
    <s v="10 BAR (145 Psig)"/>
    <d v="2026-01-15T00:00:00"/>
    <x v="0"/>
    <m/>
    <m/>
    <n v="1010282621"/>
    <n v="4010361029"/>
    <s v="BRC"/>
    <m/>
    <m/>
    <m/>
  </r>
  <r>
    <m/>
    <s v="BM-ES-01"/>
    <s v="ELECTRIC STACKER"/>
    <n v="2000"/>
    <m/>
    <d v="2025-04-30T00:00:00"/>
    <x v="2"/>
    <m/>
    <m/>
    <n v="1010281980"/>
    <n v="4010360257"/>
    <s v="FABRIKASI"/>
    <s v="HUBWAGEN"/>
    <s v="BREAKDOWN"/>
    <s v="BM - ES - 01"/>
  </r>
  <r>
    <m/>
    <s v="BRC-SA-02"/>
    <s v="STAND ASSEMBLY"/>
    <n v="500"/>
    <m/>
    <d v="2026-08-13T00:00:00"/>
    <x v="0"/>
    <m/>
    <m/>
    <n v="1010281980"/>
    <n v="4010360257"/>
    <s v="ASSEMBLY"/>
    <m/>
    <m/>
    <s v="BRC - SA - 02"/>
  </r>
  <r>
    <m/>
    <s v="BRC-JP-02"/>
    <s v="JACK PRESS"/>
    <n v="100000"/>
    <m/>
    <d v="2025-09-09T00:00:00"/>
    <x v="2"/>
    <m/>
    <m/>
    <n v="1010280232"/>
    <n v="4010359799"/>
    <s v="ASSEMBLY"/>
    <s v="ENERPAC"/>
    <s v="BREAKDOWN"/>
    <s v="BRC - JP - 02"/>
  </r>
  <r>
    <m/>
    <s v="BRC-JP-03"/>
    <s v="JACK PRESS"/>
    <n v="30000"/>
    <m/>
    <d v="2026-09-03T00:00:00"/>
    <x v="0"/>
    <m/>
    <m/>
    <n v="1010280232"/>
    <n v="4010359799"/>
    <s v="ASSEMBLY"/>
    <s v="ENERPAC"/>
    <m/>
    <s v="BRC - JP - 03"/>
  </r>
  <r>
    <m/>
    <s v="BRC-SRL-01"/>
    <s v="MAN LIFT"/>
    <n v="200"/>
    <m/>
    <d v="2026-09-03T00:00:00"/>
    <x v="0"/>
    <m/>
    <m/>
    <n v="1010280232"/>
    <n v="4010359799"/>
    <s v="ASSEMBLY"/>
    <s v="KRISBOW"/>
    <m/>
    <s v="BRC - SRL - 01"/>
  </r>
  <r>
    <m/>
    <s v="BRC-ST-02"/>
    <s v="STAND JACK"/>
    <n v="20000"/>
    <m/>
    <d v="2026-09-03T00:00:00"/>
    <x v="0"/>
    <m/>
    <m/>
    <n v="1010280232"/>
    <n v="4010359799"/>
    <s v="ERRC"/>
    <s v="DAVIDI INTERNATIONAL"/>
    <m/>
    <s v="BRC - ST - 02"/>
  </r>
  <r>
    <m/>
    <s v="BRC-ST-05"/>
    <s v="STAND JACK"/>
    <n v="20000"/>
    <m/>
    <d v="2026-09-03T00:00:00"/>
    <x v="0"/>
    <m/>
    <m/>
    <n v="1010280232"/>
    <n v="4010359799"/>
    <s v="ERRC"/>
    <m/>
    <m/>
    <s v="BRC - ST - 05"/>
  </r>
  <r>
    <m/>
    <s v="BRC-ST-06"/>
    <s v="STAND JACK"/>
    <n v="20000"/>
    <m/>
    <d v="2026-09-03T00:00:00"/>
    <x v="0"/>
    <m/>
    <m/>
    <n v="1010280232"/>
    <n v="4010359799"/>
    <s v="ERRC"/>
    <m/>
    <m/>
    <s v="BRC - ST - 06"/>
  </r>
  <r>
    <m/>
    <s v="BRC-ST-07"/>
    <s v="STAND JACK"/>
    <n v="20000"/>
    <m/>
    <d v="2026-09-03T00:00:00"/>
    <x v="0"/>
    <m/>
    <m/>
    <n v="1010280232"/>
    <n v="4010359799"/>
    <s v="ERRC"/>
    <m/>
    <m/>
    <s v="BRC - ST - 07"/>
  </r>
  <r>
    <m/>
    <s v="BRC-ST-08"/>
    <s v="STAND JACK"/>
    <n v="20000"/>
    <m/>
    <d v="2026-09-03T00:00:00"/>
    <x v="0"/>
    <m/>
    <m/>
    <n v="1010280232"/>
    <n v="4010359799"/>
    <s v="ERRC"/>
    <m/>
    <m/>
    <s v="BRC - ST - 08"/>
  </r>
  <r>
    <m/>
    <s v="BRC-ST-09"/>
    <s v="STAND JACK"/>
    <n v="20000"/>
    <m/>
    <d v="2026-09-03T00:00:00"/>
    <x v="0"/>
    <m/>
    <m/>
    <n v="1010280232"/>
    <n v="4010359799"/>
    <s v="ERRC"/>
    <m/>
    <m/>
    <s v="BRC - ST - 09"/>
  </r>
  <r>
    <m/>
    <s v="BRC-ST-10"/>
    <s v="STAND JACK"/>
    <n v="20000"/>
    <m/>
    <d v="2026-09-03T00:00:00"/>
    <x v="0"/>
    <m/>
    <m/>
    <n v="1010280232"/>
    <n v="4010359799"/>
    <s v="ERRC"/>
    <m/>
    <m/>
    <s v="BRC - ST - 10"/>
  </r>
  <r>
    <m/>
    <s v="BRC-ST-12"/>
    <s v="STAND JACK"/>
    <n v="20000"/>
    <m/>
    <d v="2026-09-03T00:00:00"/>
    <x v="0"/>
    <m/>
    <m/>
    <n v="1010280232"/>
    <n v="4010359799"/>
    <s v="ERRC"/>
    <s v="DAVIDI INTERNATIONAL"/>
    <m/>
    <s v="BRC - ST - 12"/>
  </r>
  <r>
    <m/>
    <s v="BRC-ST-13"/>
    <s v="STAND JACK"/>
    <n v="20000"/>
    <m/>
    <d v="2026-09-03T00:00:00"/>
    <x v="0"/>
    <m/>
    <m/>
    <n v="1010280232"/>
    <n v="4010359799"/>
    <s v="ERRC"/>
    <s v="DAVIDI INTERNATIONAL"/>
    <m/>
    <s v="BRC - ST - 13"/>
  </r>
  <r>
    <m/>
    <s v="BRC-ST-14"/>
    <s v="STAND JACK"/>
    <n v="60000"/>
    <m/>
    <d v="2026-09-03T00:00:00"/>
    <x v="0"/>
    <m/>
    <m/>
    <n v="1010280232"/>
    <n v="4010359799"/>
    <s v="ERRC"/>
    <s v="FATOOLS"/>
    <m/>
    <s v="BRC - ST - 14"/>
  </r>
  <r>
    <m/>
    <s v="BRC-ST-15"/>
    <s v="STAND JACK"/>
    <n v="20000"/>
    <m/>
    <d v="2026-09-03T00:00:00"/>
    <x v="0"/>
    <m/>
    <m/>
    <n v="1010280232"/>
    <n v="4010359799"/>
    <s v="ERRC"/>
    <m/>
    <m/>
    <s v="BRC - ST - 15"/>
  </r>
  <r>
    <m/>
    <s v="BRC-ST-16"/>
    <s v="STAND JACK"/>
    <n v="50000"/>
    <m/>
    <d v="2026-09-03T00:00:00"/>
    <x v="0"/>
    <m/>
    <m/>
    <n v="1010280232"/>
    <n v="4010359799"/>
    <s v="ERRC"/>
    <s v="DAVIDI INTERNATIONAL"/>
    <m/>
    <s v="BRC - ST - 16"/>
  </r>
  <r>
    <m/>
    <s v="BRC-ST-17"/>
    <s v="STAND JACK"/>
    <n v="50000"/>
    <m/>
    <d v="2026-09-03T00:00:00"/>
    <x v="0"/>
    <m/>
    <m/>
    <n v="1010280232"/>
    <n v="4010359799"/>
    <s v="ERRC"/>
    <s v="DAVIDI INTERNATIONAL"/>
    <m/>
    <s v="BRC - ST - 17"/>
  </r>
  <r>
    <m/>
    <s v="BRC-ST-18"/>
    <s v="STAND JACK"/>
    <n v="50000"/>
    <m/>
    <d v="2026-09-03T00:00:00"/>
    <x v="0"/>
    <m/>
    <m/>
    <n v="1010280232"/>
    <n v="4010359799"/>
    <s v="ERRC"/>
    <s v="DAVIDI INTERNATIONAL"/>
    <m/>
    <s v="BRC - ST - 18"/>
  </r>
  <r>
    <m/>
    <s v="BRC-ST-86"/>
    <s v="STAND JACK"/>
    <n v="30000"/>
    <m/>
    <d v="2026-11-11T00:00:00"/>
    <x v="0"/>
    <d v="2025-11-11T00:00:00"/>
    <m/>
    <m/>
    <m/>
    <s v="ERRC"/>
    <m/>
    <m/>
    <m/>
  </r>
  <r>
    <m/>
    <s v="FLKM18001"/>
    <s v="FORKLIFT ELECTRIC KOMATSU FB18_001"/>
    <n v="1800"/>
    <m/>
    <d v="2026-09-09T00:00:00"/>
    <x v="0"/>
    <d v="2025-09-10T00:00:00"/>
    <m/>
    <n v="1010280232"/>
    <n v="4010359799"/>
    <s v="BRC"/>
    <s v="KOMATSU"/>
    <m/>
    <s v="FLKM18001"/>
  </r>
  <r>
    <m/>
    <s v="BRC-SRL-002"/>
    <s v="SCISSOR LIFT"/>
    <n v="6000"/>
    <m/>
    <d v="2026-09-09T00:00:00"/>
    <x v="0"/>
    <d v="2025-09-09T00:00:00"/>
    <m/>
    <m/>
    <m/>
    <m/>
    <m/>
    <m/>
    <m/>
  </r>
  <r>
    <m/>
    <s v="BRC-JB-01"/>
    <s v="JACK BOTTLE "/>
    <n v="12000"/>
    <m/>
    <d v="2026-09-09T00:00:00"/>
    <x v="0"/>
    <d v="2025-09-09T00:00:00"/>
    <m/>
    <m/>
    <m/>
    <m/>
    <m/>
    <m/>
    <m/>
  </r>
  <r>
    <m/>
    <s v="BRC-HP-01"/>
    <s v="HAND PALLET"/>
    <n v="3000"/>
    <m/>
    <d v="2026-08-31T00:00:00"/>
    <x v="0"/>
    <d v="2025-08-31T00:00:00"/>
    <m/>
    <m/>
    <m/>
    <m/>
    <m/>
    <m/>
    <m/>
  </r>
  <r>
    <m/>
    <s v="BRC-HP-02"/>
    <s v="HAND PALLET"/>
    <n v="3000"/>
    <m/>
    <d v="2025-12-03T00:00:00"/>
    <x v="0"/>
    <m/>
    <m/>
    <m/>
    <m/>
    <s v="ERRC"/>
    <m/>
    <s v="BREAKDOWN"/>
    <s v="BRC - HP - 02"/>
  </r>
  <r>
    <m/>
    <s v="BRC-HP-03"/>
    <s v="HAND PALLET"/>
    <n v="3000"/>
    <m/>
    <d v="2026-08-31T00:00:00"/>
    <x v="0"/>
    <d v="2025-08-31T00:00:00"/>
    <m/>
    <m/>
    <m/>
    <m/>
    <m/>
    <m/>
    <m/>
  </r>
  <r>
    <m/>
    <s v="BRC-HP-04"/>
    <s v="HAND PALLET"/>
    <n v="3000"/>
    <m/>
    <d v="2026-08-31T00:00:00"/>
    <x v="0"/>
    <d v="2025-08-31T00:00:00"/>
    <m/>
    <m/>
    <m/>
    <m/>
    <m/>
    <m/>
    <m/>
  </r>
  <r>
    <m/>
    <s v="BRC-HP-05"/>
    <s v="HAND PALLET"/>
    <n v="3000"/>
    <m/>
    <d v="2025-09-09T00:00:00"/>
    <x v="2"/>
    <m/>
    <m/>
    <n v="1010282621"/>
    <n v="4010361029"/>
    <s v="ERRC"/>
    <m/>
    <s v="BREAKDOWN"/>
    <m/>
  </r>
  <r>
    <m/>
    <s v="BRC-HP-06"/>
    <s v="HAND PALLET"/>
    <n v="3000"/>
    <m/>
    <d v="2026-08-31T00:00:00"/>
    <x v="0"/>
    <d v="2025-08-31T00:00:00"/>
    <m/>
    <m/>
    <m/>
    <m/>
    <m/>
    <m/>
    <m/>
  </r>
  <r>
    <m/>
    <s v="BRC-HP-07"/>
    <s v="HAND PALLET"/>
    <n v="3000"/>
    <m/>
    <d v="2026-08-31T00:00:00"/>
    <x v="0"/>
    <d v="2025-08-31T00:00:00"/>
    <m/>
    <m/>
    <m/>
    <m/>
    <m/>
    <m/>
    <m/>
  </r>
  <r>
    <m/>
    <s v="BRC-SE-01"/>
    <s v="STAND ENGINE "/>
    <n v="8000"/>
    <m/>
    <d v="2026-09-09T00:00:00"/>
    <x v="0"/>
    <d v="2025-09-09T00:00:00"/>
    <m/>
    <m/>
    <m/>
    <m/>
    <m/>
    <m/>
    <m/>
  </r>
  <r>
    <m/>
    <s v="BRC-SE-02"/>
    <s v="STAND ENGINE "/>
    <n v="8000"/>
    <m/>
    <d v="2026-09-09T00:00:00"/>
    <x v="0"/>
    <d v="2025-09-09T00:00:00"/>
    <m/>
    <m/>
    <m/>
    <m/>
    <m/>
    <m/>
    <m/>
  </r>
  <r>
    <m/>
    <s v="BRC-SE-03"/>
    <s v="STAND ENGINE "/>
    <n v="8000"/>
    <m/>
    <d v="2026-09-09T00:00:00"/>
    <x v="0"/>
    <d v="2025-09-09T00:00:00"/>
    <m/>
    <m/>
    <m/>
    <m/>
    <m/>
    <m/>
    <m/>
  </r>
  <r>
    <m/>
    <s v="BRC-SE-04"/>
    <s v="STAND ENGINE "/>
    <n v="8000"/>
    <m/>
    <d v="2026-09-09T00:00:00"/>
    <x v="0"/>
    <d v="2025-09-09T00:00:00"/>
    <m/>
    <m/>
    <m/>
    <m/>
    <m/>
    <m/>
    <m/>
  </r>
  <r>
    <m/>
    <s v="BRC-HJ-01"/>
    <s v="HYDRAULIC JACK"/>
    <n v="100000"/>
    <m/>
    <d v="2026-09-09T00:00:00"/>
    <x v="0"/>
    <d v="2025-09-09T00:00:00"/>
    <m/>
    <m/>
    <m/>
    <m/>
    <s v="EKATAMA"/>
    <m/>
    <m/>
  </r>
  <r>
    <m/>
    <s v="BRC-TLCH-01"/>
    <s v="TEST LEAKING CYLINDRE HEAD "/>
    <m/>
    <s v="1KG/ 14 Psig"/>
    <d v="2025-09-09T00:00:00"/>
    <x v="0"/>
    <d v="2025-09-09T00:00:00"/>
    <m/>
    <m/>
    <m/>
    <m/>
    <m/>
    <m/>
    <m/>
  </r>
  <r>
    <m/>
    <s v="BM-CS-7702"/>
    <s v="CHAIN SLING"/>
    <n v="2600"/>
    <m/>
    <d v="2026-10-03T00:00:00"/>
    <x v="0"/>
    <d v="2025-10-03T00:00:00"/>
    <d v="2026-09-19T00:00:00"/>
    <m/>
    <n v="4010363923"/>
    <m/>
    <m/>
    <m/>
    <m/>
  </r>
  <r>
    <m/>
    <s v="BM-CS-7707"/>
    <s v="CHAIN SLING"/>
    <n v="5500"/>
    <m/>
    <d v="2026-10-03T00:00:00"/>
    <x v="0"/>
    <d v="2025-10-03T00:00:00"/>
    <d v="2026-09-19T00:00:00"/>
    <m/>
    <n v="4010363923"/>
    <m/>
    <m/>
    <m/>
    <m/>
  </r>
  <r>
    <m/>
    <s v="BM-CS-7706"/>
    <s v="CHAIN SLING"/>
    <n v="2600"/>
    <m/>
    <d v="2026-10-03T00:00:00"/>
    <x v="0"/>
    <d v="2025-10-03T00:00:00"/>
    <d v="2026-09-19T00:00:00"/>
    <m/>
    <n v="4010363923"/>
    <m/>
    <m/>
    <m/>
    <m/>
  </r>
  <r>
    <m/>
    <s v="BM-CS-7705"/>
    <s v="CHAIN SLING"/>
    <n v="5500"/>
    <m/>
    <d v="2026-10-03T00:00:00"/>
    <x v="0"/>
    <d v="2025-10-03T00:00:00"/>
    <d v="2026-09-19T00:00:00"/>
    <m/>
    <n v="4010363923"/>
    <m/>
    <m/>
    <m/>
    <m/>
  </r>
  <r>
    <m/>
    <s v="BM-CS-7704"/>
    <s v="CHAIN SLING"/>
    <n v="5500"/>
    <m/>
    <d v="2026-10-03T00:00:00"/>
    <x v="0"/>
    <d v="2025-10-03T00:00:00"/>
    <d v="2026-09-19T00:00:00"/>
    <m/>
    <n v="4010363923"/>
    <m/>
    <m/>
    <m/>
    <m/>
  </r>
  <r>
    <m/>
    <s v="BM-CS-7703"/>
    <s v="CHAIN SLING"/>
    <n v="5500"/>
    <m/>
    <d v="2026-10-03T00:00:00"/>
    <x v="0"/>
    <d v="2025-10-03T00:00:00"/>
    <d v="2026-09-19T00:00:00"/>
    <m/>
    <n v="4010363923"/>
    <m/>
    <m/>
    <m/>
    <m/>
  </r>
  <r>
    <m/>
    <s v="BM-CS-7701"/>
    <s v="CHAIN SLING"/>
    <n v="5500"/>
    <m/>
    <d v="2025-12-10T00:00:00"/>
    <x v="0"/>
    <m/>
    <d v="2025-11-26T00:00:00"/>
    <m/>
    <m/>
    <m/>
    <m/>
    <m/>
    <m/>
  </r>
  <r>
    <m/>
    <s v="BM-CS-7700"/>
    <s v="CHAIN SLING"/>
    <n v="13000"/>
    <m/>
    <d v="2026-10-03T00:00:00"/>
    <x v="0"/>
    <d v="2025-10-03T00:00:00"/>
    <d v="2026-09-19T00:00:00"/>
    <m/>
    <n v="4010363923"/>
    <m/>
    <m/>
    <m/>
    <m/>
  </r>
  <r>
    <m/>
    <s v="ACSN001"/>
    <s v="AIR COMPRESSOR PORTABLE"/>
    <s v="8 Kg / cm 2 ( 113 Psig )"/>
    <m/>
    <d v="2026-10-03T00:00:00"/>
    <x v="0"/>
    <d v="2025-10-03T00:00:00"/>
    <d v="2026-09-19T00:00:00"/>
    <m/>
    <n v="4010363923"/>
    <s v="PAINTING"/>
    <s v="SWAN"/>
    <m/>
    <m/>
  </r>
  <r>
    <m/>
    <s v="ACAT37001"/>
    <s v="AIR COMPRESSOR ATLAS COPCO RS37IE"/>
    <s v="15 Bar ( 217 Psig ) "/>
    <m/>
    <d v="2025-01-16T00:00:00"/>
    <x v="0"/>
    <m/>
    <d v="2025-01-02T00:00:00"/>
    <m/>
    <m/>
    <s v="BRC"/>
    <s v="ATLAS COPCO"/>
    <m/>
    <m/>
  </r>
  <r>
    <m/>
    <s v="BRC-ST-01"/>
    <s v="STAND JACK"/>
    <n v="20000"/>
    <m/>
    <d v="2025-12-03T00:00:00"/>
    <x v="0"/>
    <m/>
    <d v="2025-11-19T00:00:00"/>
    <m/>
    <m/>
    <m/>
    <m/>
    <m/>
    <s v="BRC - ST - 01"/>
  </r>
  <r>
    <m/>
    <s v="BRC-ST-004"/>
    <s v="STAND JACK"/>
    <n v="20000"/>
    <m/>
    <d v="2025-12-03T00:00:00"/>
    <x v="0"/>
    <m/>
    <d v="2025-11-19T00:00:00"/>
    <m/>
    <m/>
    <m/>
    <m/>
    <m/>
    <s v="BRC - ST - 004"/>
  </r>
  <r>
    <m/>
    <s v="BRC-ST-005"/>
    <s v="STAND JACK"/>
    <n v="20000"/>
    <m/>
    <d v="2025-12-03T00:00:00"/>
    <x v="0"/>
    <m/>
    <d v="2025-11-19T00:00:00"/>
    <m/>
    <m/>
    <m/>
    <m/>
    <m/>
    <s v="BRC - ST - 005"/>
  </r>
  <r>
    <m/>
    <s v="BRC-ST-006"/>
    <s v="STAND JACK"/>
    <n v="20000"/>
    <m/>
    <d v="2025-12-03T00:00:00"/>
    <x v="0"/>
    <m/>
    <d v="2025-11-19T00:00:00"/>
    <m/>
    <m/>
    <m/>
    <m/>
    <m/>
    <s v="BRC - ST - 006"/>
  </r>
  <r>
    <m/>
    <s v="BRC-ST-007"/>
    <s v="STAND JACK"/>
    <n v="20000"/>
    <m/>
    <d v="2025-12-03T00:00:00"/>
    <x v="0"/>
    <m/>
    <d v="2025-11-19T00:00:00"/>
    <m/>
    <m/>
    <m/>
    <m/>
    <m/>
    <s v="BRC - ST - 007"/>
  </r>
  <r>
    <m/>
    <s v="BRC-ST-008"/>
    <s v="STAND JACK"/>
    <n v="20000"/>
    <m/>
    <d v="2025-12-03T00:00:00"/>
    <x v="0"/>
    <m/>
    <d v="2025-11-19T00:00:00"/>
    <m/>
    <m/>
    <m/>
    <m/>
    <m/>
    <s v="BRC - ST - 008"/>
  </r>
  <r>
    <m/>
    <s v="BRC-STR-01"/>
    <s v="STAND TRANSMISSION"/>
    <n v="2500"/>
    <m/>
    <d v="2025-12-03T00:00:00"/>
    <x v="0"/>
    <m/>
    <d v="2025-11-19T00:00:00"/>
    <m/>
    <m/>
    <s v="ASSEMBLY"/>
    <m/>
    <m/>
    <s v="BRC - STR - 01"/>
  </r>
  <r>
    <m/>
    <s v="BRC-STR-02"/>
    <s v="STAND TRANSMISSION"/>
    <n v="2500"/>
    <m/>
    <d v="2025-12-03T00:00:00"/>
    <x v="0"/>
    <m/>
    <d v="2025-11-19T00:00:00"/>
    <m/>
    <m/>
    <s v="ASSEMBLY"/>
    <m/>
    <m/>
    <s v="BRC - STR - 02"/>
  </r>
  <r>
    <m/>
    <s v="BRC-STR-03"/>
    <s v="STAND TRANSMISSION"/>
    <n v="2500"/>
    <m/>
    <d v="2025-12-03T00:00:00"/>
    <x v="0"/>
    <m/>
    <d v="2025-11-19T00:00:00"/>
    <m/>
    <m/>
    <s v="ASSEMBLY"/>
    <m/>
    <m/>
    <s v="BRC - STR - 03"/>
  </r>
  <r>
    <m/>
    <s v="BRC-STR-04"/>
    <s v="STAND TRANSMISSION"/>
    <n v="2500"/>
    <m/>
    <d v="2025-12-03T00:00:00"/>
    <x v="0"/>
    <m/>
    <d v="2025-11-19T00:00:00"/>
    <m/>
    <m/>
    <s v="ASSEMBLY"/>
    <m/>
    <m/>
    <s v="BRC - STR - 04"/>
  </r>
  <r>
    <m/>
    <s v="BRC-STR-05"/>
    <s v="STAND TRANSMISSION"/>
    <n v="2500"/>
    <m/>
    <d v="2025-12-03T00:00:00"/>
    <x v="0"/>
    <m/>
    <d v="2025-11-19T00:00:00"/>
    <m/>
    <m/>
    <s v="ASSEMBLY"/>
    <m/>
    <m/>
    <s v="BRC - STR - 05"/>
  </r>
  <r>
    <m/>
    <s v="BRC-STR-06"/>
    <s v="STAND TRANSMISSION"/>
    <n v="2500"/>
    <m/>
    <d v="2025-12-03T00:00:00"/>
    <x v="0"/>
    <m/>
    <d v="2025-11-19T00:00:00"/>
    <m/>
    <m/>
    <s v="ASSEMBLY"/>
    <m/>
    <m/>
    <s v="BRC - STR - 06"/>
  </r>
  <r>
    <m/>
    <s v="BRC-STR-07"/>
    <s v="STAND TRANSMISSION"/>
    <n v="2500"/>
    <m/>
    <d v="2025-12-03T00:00:00"/>
    <x v="0"/>
    <m/>
    <d v="2025-11-19T00:00:00"/>
    <m/>
    <m/>
    <s v="ASSEMBLY"/>
    <m/>
    <m/>
    <s v="BRC - STR - 07"/>
  </r>
  <r>
    <m/>
    <s v="BRC-STR-08"/>
    <s v="STAND TRANSMISSION"/>
    <n v="2500"/>
    <m/>
    <d v="2025-12-03T00:00:00"/>
    <x v="0"/>
    <m/>
    <d v="2025-11-19T00:00:00"/>
    <m/>
    <m/>
    <s v="ASSEMBLY"/>
    <m/>
    <m/>
    <s v="BRC - STR - 08"/>
  </r>
  <r>
    <m/>
    <s v="BRC-STR-09"/>
    <s v="STAND TRANSMISSION"/>
    <n v="2500"/>
    <m/>
    <d v="2025-12-03T00:00:00"/>
    <x v="0"/>
    <m/>
    <d v="2025-11-19T00:00:00"/>
    <m/>
    <m/>
    <s v="ASSEMBLY"/>
    <m/>
    <m/>
    <s v="BRC - STR - 09"/>
  </r>
  <r>
    <m/>
    <s v="BRC-TW-02"/>
    <s v="TABLE WORK"/>
    <m/>
    <m/>
    <d v="2025-12-03T00:00:00"/>
    <x v="0"/>
    <m/>
    <d v="2025-11-19T00:00:00"/>
    <m/>
    <m/>
    <s v="ASSEMBLY"/>
    <m/>
    <m/>
    <s v="BRC - TW - 02"/>
  </r>
  <r>
    <m/>
    <s v="BRC-TW-03"/>
    <s v="TABLE WORK"/>
    <n v="500"/>
    <m/>
    <d v="2025-12-03T00:00:00"/>
    <x v="0"/>
    <m/>
    <d v="2025-11-19T00:00:00"/>
    <m/>
    <m/>
    <s v="ASSEMBLY"/>
    <m/>
    <m/>
    <s v="BRC - TW - 03"/>
  </r>
  <r>
    <m/>
    <s v="BRC-TJRO-01"/>
    <s v="TOOL JACK &amp; ROLL OVER STAND ENGINE"/>
    <n v="9072"/>
    <m/>
    <d v="2026-10-03T00:00:00"/>
    <x v="0"/>
    <d v="2025-10-03T00:00:00"/>
    <m/>
    <m/>
    <n v="4010363923"/>
    <s v="DISASSEMBLY"/>
    <m/>
    <m/>
    <m/>
  </r>
  <r>
    <m/>
    <s v="BRC-TJRO-02"/>
    <s v="TOOL JACK &amp; ROLL OVER STAND ENGINE"/>
    <n v="9072"/>
    <m/>
    <d v="2025-12-03T00:00:00"/>
    <x v="0"/>
    <m/>
    <d v="2025-11-19T00:00:00"/>
    <m/>
    <m/>
    <s v="DISASSEMBLY"/>
    <m/>
    <m/>
    <s v="BRC - TJRO - 02"/>
  </r>
  <r>
    <m/>
    <s v="BUMA-WIP-RRHD-01"/>
    <s v="RACK REPAIR HEAVY DUTY"/>
    <n v="2500"/>
    <m/>
    <d v="2025-12-04T00:00:00"/>
    <x v="0"/>
    <m/>
    <d v="2025-11-20T00:00:00"/>
    <m/>
    <m/>
    <s v="WIP"/>
    <s v="KITARACK"/>
    <m/>
    <m/>
  </r>
  <r>
    <m/>
    <s v="BUMA-WIP-RRHD-02"/>
    <s v="RACK REPAIR HEAVY DUTY"/>
    <n v="2500"/>
    <m/>
    <d v="2025-12-04T00:00:00"/>
    <x v="0"/>
    <m/>
    <d v="2025-11-20T00:00:00"/>
    <m/>
    <m/>
    <s v="WIP"/>
    <s v="KITARACK"/>
    <m/>
    <m/>
  </r>
  <r>
    <m/>
    <s v="BUMA-WIP-RRHD-03"/>
    <s v="RACK REPAIR HEAVY DUTY"/>
    <n v="2500"/>
    <m/>
    <d v="2025-12-04T00:00:00"/>
    <x v="0"/>
    <m/>
    <d v="2025-11-20T00:00:00"/>
    <m/>
    <m/>
    <s v="WIP"/>
    <s v="KITARACK"/>
    <m/>
    <m/>
  </r>
  <r>
    <m/>
    <s v="BUMA-WIP-RRHD-04"/>
    <s v="RACK REPAIR HEAVY DUTY"/>
    <n v="2500"/>
    <m/>
    <d v="2025-12-04T00:00:00"/>
    <x v="0"/>
    <m/>
    <d v="2025-11-20T00:00:00"/>
    <m/>
    <m/>
    <s v="WIP"/>
    <s v="KITARACK"/>
    <m/>
    <m/>
  </r>
  <r>
    <m/>
    <s v="BUMA-WIP-RRHD-05"/>
    <s v="RACK REPAIR HEAVY DUTY"/>
    <n v="2500"/>
    <m/>
    <d v="2025-12-04T00:00:00"/>
    <x v="0"/>
    <m/>
    <d v="2025-11-20T00:00:00"/>
    <m/>
    <m/>
    <s v="WIP"/>
    <s v="KITARACK"/>
    <m/>
    <m/>
  </r>
  <r>
    <m/>
    <s v="BUMA-WIP-RRHD-06"/>
    <s v="RACK REPAIR HEAVY DUTY"/>
    <n v="2500"/>
    <m/>
    <d v="2025-12-04T00:00:00"/>
    <x v="0"/>
    <m/>
    <d v="2025-11-20T00:00:00"/>
    <m/>
    <m/>
    <s v="WIP"/>
    <s v="KITARACK"/>
    <m/>
    <m/>
  </r>
  <r>
    <m/>
    <s v="BUMA-WIP-RRHD-07"/>
    <s v="RACK REPAIR HEAVY DUTY"/>
    <n v="2500"/>
    <m/>
    <d v="2025-12-04T00:00:00"/>
    <x v="0"/>
    <m/>
    <d v="2025-11-20T00:00:00"/>
    <m/>
    <m/>
    <s v="WIP"/>
    <s v="KITARACK"/>
    <m/>
    <m/>
  </r>
  <r>
    <m/>
    <s v="BUMA-WIP-RRHD-08"/>
    <s v="RACK REPAIR HEAVY DUTY"/>
    <n v="2500"/>
    <m/>
    <d v="2025-12-04T00:00:00"/>
    <x v="0"/>
    <m/>
    <d v="2025-11-20T00:00:00"/>
    <m/>
    <m/>
    <s v="WIP"/>
    <s v="KITARACK"/>
    <m/>
    <m/>
  </r>
  <r>
    <m/>
    <s v="BUMA-WIP-RRHD-09"/>
    <s v="RACK REPAIR HEAVY DUTY"/>
    <n v="2500"/>
    <m/>
    <d v="2025-12-04T00:00:00"/>
    <x v="0"/>
    <m/>
    <d v="2025-11-20T00:00:00"/>
    <m/>
    <m/>
    <s v="WIP"/>
    <s v="KITARACK"/>
    <m/>
    <m/>
  </r>
  <r>
    <m/>
    <s v="BUMA-WIP-RRHD-10"/>
    <s v="RACK REPAIR HEAVY DUTY"/>
    <n v="2500"/>
    <m/>
    <d v="2025-12-04T00:00:00"/>
    <x v="0"/>
    <m/>
    <d v="2025-11-20T00:00:00"/>
    <m/>
    <m/>
    <s v="WIP"/>
    <s v="KITARACK"/>
    <m/>
    <m/>
  </r>
  <r>
    <m/>
    <s v="BUMA-WIP-RRHD-11"/>
    <s v="RACK REPAIR HEAVY DUTY"/>
    <n v="2500"/>
    <m/>
    <d v="2025-12-04T00:00:00"/>
    <x v="0"/>
    <m/>
    <d v="2025-11-20T00:00:00"/>
    <m/>
    <m/>
    <s v="WIP"/>
    <s v="KITARACK"/>
    <m/>
    <m/>
  </r>
  <r>
    <m/>
    <s v="BUMA-WIP-RRHD-12"/>
    <s v="RACK REPAIR HEAVY DUTY"/>
    <n v="2500"/>
    <m/>
    <d v="2025-12-04T00:00:00"/>
    <x v="0"/>
    <m/>
    <d v="2025-11-20T00:00:00"/>
    <m/>
    <m/>
    <s v="WIP"/>
    <s v="KITARACK"/>
    <m/>
    <m/>
  </r>
  <r>
    <m/>
    <s v="BUMA-WIP-RRHD-13"/>
    <s v="RACK REPAIR HEAVY DUTY"/>
    <n v="2500"/>
    <m/>
    <d v="2025-12-04T00:00:00"/>
    <x v="0"/>
    <m/>
    <d v="2025-11-20T00:00:00"/>
    <m/>
    <m/>
    <s v="WIP"/>
    <s v="KITARACK"/>
    <m/>
    <m/>
  </r>
  <r>
    <m/>
    <s v="BUMA-SR-RRHD-01"/>
    <s v="RACK REPAIR HEAVY DUTY"/>
    <n v="2500"/>
    <m/>
    <d v="2025-12-04T00:00:00"/>
    <x v="0"/>
    <m/>
    <d v="2025-11-20T00:00:00"/>
    <m/>
    <m/>
    <s v="STRORAGE REPAIR"/>
    <s v="KITARACK"/>
    <m/>
    <m/>
  </r>
  <r>
    <m/>
    <s v="BUMA-SR-RRHD-02"/>
    <s v="RACK REPAIR HEAVY DUTY"/>
    <n v="2500"/>
    <m/>
    <d v="2025-12-04T00:00:00"/>
    <x v="0"/>
    <m/>
    <d v="2025-11-20T00:00:00"/>
    <m/>
    <m/>
    <s v="STRORAGE REPAIR"/>
    <s v="KITARACK"/>
    <m/>
    <m/>
  </r>
  <r>
    <m/>
    <s v="BUMA-SR-RRHD-03"/>
    <s v="RACK REPAIR HEAVY DUTY"/>
    <n v="2500"/>
    <m/>
    <d v="2025-12-04T00:00:00"/>
    <x v="0"/>
    <m/>
    <d v="2025-11-20T00:00:00"/>
    <m/>
    <m/>
    <s v="STRORAGE REPAIR"/>
    <s v="KITARACK"/>
    <m/>
    <m/>
  </r>
  <r>
    <m/>
    <s v="BUMA-SR-RRHD-04"/>
    <s v="RACK REPAIR HEAVY DUTY"/>
    <n v="2500"/>
    <m/>
    <d v="2025-12-04T00:00:00"/>
    <x v="0"/>
    <m/>
    <d v="2025-11-20T00:00:00"/>
    <m/>
    <m/>
    <s v="STRORAGE REPAIR"/>
    <s v="KITARACK"/>
    <m/>
    <m/>
  </r>
  <r>
    <m/>
    <s v="BUMA-SR-RRHD-05"/>
    <s v="RACK REPAIR HEAVY DUTY"/>
    <n v="2500"/>
    <m/>
    <d v="2025-12-04T00:00:00"/>
    <x v="0"/>
    <m/>
    <d v="2025-11-20T00:00:00"/>
    <m/>
    <m/>
    <s v="STRORAGE REPAIR"/>
    <s v="KITARACK"/>
    <m/>
    <m/>
  </r>
  <r>
    <m/>
    <s v="BUMA-SR-RRHD-06"/>
    <s v="RACK REPAIR HEAVY DUTY"/>
    <n v="2500"/>
    <m/>
    <d v="2025-12-04T00:00:00"/>
    <x v="0"/>
    <m/>
    <d v="2025-11-20T00:00:00"/>
    <m/>
    <m/>
    <s v="STRORAGE REPAIR"/>
    <s v="KITARACK"/>
    <m/>
    <m/>
  </r>
  <r>
    <m/>
    <s v="BUMA-SR-RRHD-07"/>
    <s v="RACK REPAIR HEAVY DUTY"/>
    <n v="2500"/>
    <m/>
    <d v="2025-12-04T00:00:00"/>
    <x v="0"/>
    <m/>
    <d v="2025-11-20T00:00:00"/>
    <m/>
    <m/>
    <s v="STRORAGE REPAIR"/>
    <s v="KITARACK"/>
    <m/>
    <m/>
  </r>
  <r>
    <m/>
    <s v="BUMA-SR-RRHD-08"/>
    <s v="RACK REPAIR HEAVY DUTY"/>
    <n v="2500"/>
    <m/>
    <d v="2025-12-04T00:00:00"/>
    <x v="0"/>
    <m/>
    <d v="2025-11-20T00:00:00"/>
    <m/>
    <m/>
    <s v="STRORAGE REPAIR"/>
    <s v="KITARACK"/>
    <m/>
    <m/>
  </r>
  <r>
    <m/>
    <s v="BUMA-SR-RRHD-09"/>
    <s v="RACK REPAIR HEAVY DUTY"/>
    <n v="2500"/>
    <m/>
    <d v="2025-12-04T00:00:00"/>
    <x v="0"/>
    <m/>
    <d v="2025-11-20T00:00:00"/>
    <m/>
    <m/>
    <s v="STRORAGE REPAIR"/>
    <s v="KITARACK"/>
    <m/>
    <m/>
  </r>
  <r>
    <m/>
    <s v="BUMA-SR-RRHD-10"/>
    <s v="RACK REPAIR HEAVY DUTY"/>
    <n v="2500"/>
    <m/>
    <d v="2025-12-04T00:00:00"/>
    <x v="0"/>
    <m/>
    <d v="2025-11-20T00:00:00"/>
    <m/>
    <m/>
    <s v="STRORAGE REPAIR"/>
    <s v="KITARACK"/>
    <m/>
    <m/>
  </r>
  <r>
    <m/>
    <s v="BUMA-SR-RRHD-11"/>
    <s v="RACK REPAIR HEAVY DUTY"/>
    <n v="2500"/>
    <m/>
    <d v="2025-12-04T00:00:00"/>
    <x v="0"/>
    <m/>
    <d v="2025-11-20T00:00:00"/>
    <m/>
    <m/>
    <s v="STRORAGE REPAIR"/>
    <s v="KITARACK"/>
    <m/>
    <m/>
  </r>
  <r>
    <m/>
    <s v="BUMA-SR-RRHD-12"/>
    <s v="RACK REPAIR HEAVY DUTY"/>
    <n v="2500"/>
    <m/>
    <d v="2025-12-04T00:00:00"/>
    <x v="0"/>
    <m/>
    <d v="2025-11-20T00:00:00"/>
    <m/>
    <m/>
    <s v="STRORAGE REPAIR"/>
    <s v="KITARACK"/>
    <m/>
    <m/>
  </r>
  <r>
    <m/>
    <s v="BUMA-SR-RRHD-13"/>
    <s v="RACK REPAIR HEAVY DUTY"/>
    <n v="2500"/>
    <m/>
    <d v="2025-12-04T00:00:00"/>
    <x v="0"/>
    <m/>
    <d v="2025-11-20T00:00:00"/>
    <m/>
    <m/>
    <s v="STRORAGE REPAIR"/>
    <s v="KITARACK"/>
    <m/>
    <m/>
  </r>
  <r>
    <m/>
    <s v="BUMA-SR-RRHD-14"/>
    <s v="RACK REPAIR HEAVY DUTY"/>
    <n v="2500"/>
    <m/>
    <d v="2025-12-04T00:00:00"/>
    <x v="0"/>
    <m/>
    <d v="2025-11-20T00:00:00"/>
    <m/>
    <m/>
    <s v="STRORAGE REPAIR"/>
    <s v="KITARACK"/>
    <m/>
    <m/>
  </r>
  <r>
    <m/>
    <n v="7710"/>
    <s v="CRANE, WALL TRAVEL 2T"/>
    <n v="2000"/>
    <m/>
    <d v="2025-12-10T00:00:00"/>
    <x v="0"/>
    <m/>
    <d v="2025-11-26T00:00:00"/>
    <m/>
    <m/>
    <s v="DISASSEMBLY"/>
    <s v="ABUS CRANE"/>
    <s v="WALL TRAVELLING JIB CRANE"/>
    <n v="7710"/>
  </r>
  <r>
    <m/>
    <s v="WCAB03001"/>
    <s v="CRANE, WALL TRAVEL 3.2T CAP(span 8000mm)"/>
    <n v="3200"/>
    <m/>
    <d v="2025-12-10T00:00:00"/>
    <x v="0"/>
    <m/>
    <d v="2025-11-26T00:00:00"/>
    <m/>
    <m/>
    <s v="ASSEMBLY"/>
    <s v="ABUS CRANE"/>
    <s v="WALL TRAVELLING JIB CRANE"/>
    <n v="7709"/>
  </r>
  <r>
    <m/>
    <s v="WCAB03002"/>
    <s v="CRANE, WALL TRAVEL 3.2T CAP(span 4000mm)"/>
    <n v="3200"/>
    <m/>
    <d v="2025-12-10T00:00:00"/>
    <x v="0"/>
    <m/>
    <d v="2025-11-26T00:00:00"/>
    <m/>
    <m/>
    <s v="ASSEMBLY"/>
    <s v="ABUS CRANE"/>
    <s v="WALL TRAVELLING JIB CRANE"/>
    <n v="7705"/>
  </r>
  <r>
    <m/>
    <s v="WCAB05001"/>
    <s v="CRANE, WALL TRAVEL 5T CAP (span 8000mm)"/>
    <n v="5000"/>
    <m/>
    <d v="2025-12-10T00:00:00"/>
    <x v="0"/>
    <m/>
    <d v="2025-11-26T00:00:00"/>
    <m/>
    <m/>
    <s v="ASSEMBLY"/>
    <s v="ABUS CRANE"/>
    <s v="WALL TRAVELLING JIB CRANE"/>
    <n v="7702"/>
  </r>
  <r>
    <m/>
    <s v="WCAB05002"/>
    <s v="CRANE, WALL TRAVEL 5T CAP (span 4000mm)"/>
    <n v="5000"/>
    <m/>
    <d v="2025-12-10T00:00:00"/>
    <x v="0"/>
    <m/>
    <d v="2025-11-26T00:00:00"/>
    <m/>
    <m/>
    <s v="ASSEMBLY"/>
    <s v="ABUS CRANE"/>
    <s v="WALL TRAVELLING JIB CRANE"/>
    <n v="7703"/>
  </r>
  <r>
    <m/>
    <s v="WCAB07001"/>
    <s v="CRANE, WALL TRAVEL 7.5T CAP #1"/>
    <n v="7500"/>
    <m/>
    <d v="2025-12-10T00:00:00"/>
    <x v="0"/>
    <m/>
    <d v="2025-11-26T00:00:00"/>
    <m/>
    <m/>
    <s v="ASSEMBLY"/>
    <s v="ABUS CRANE"/>
    <s v="WALL TRAVELLING JIB CRANE"/>
    <n v="7707"/>
  </r>
  <r>
    <m/>
    <s v="WCAB07002"/>
    <s v="CRANE, WALL TRAVEL 7.5T CAP #2"/>
    <n v="7500"/>
    <m/>
    <d v="2025-12-10T00:00:00"/>
    <x v="0"/>
    <m/>
    <d v="2025-11-26T00:00:00"/>
    <m/>
    <m/>
    <s v="Bays 1,2 Disassy"/>
    <s v="ABUS CRANE"/>
    <s v="WALL TRAVELLING JIB CRANE"/>
    <n v="7706"/>
  </r>
  <r>
    <m/>
    <s v="OCAB03001"/>
    <s v="CRANE,OVERHEAD 3.2T CAP"/>
    <n v="3200"/>
    <m/>
    <d v="2025-12-10T00:00:00"/>
    <x v="0"/>
    <m/>
    <d v="2025-11-26T00:00:00"/>
    <m/>
    <m/>
    <s v="Bays 3,4 Disassy"/>
    <s v="ABUS CRANE"/>
    <s v="OVERHEAD CRANE"/>
    <n v="7708"/>
  </r>
  <r>
    <m/>
    <s v="OCAB10001"/>
    <s v="CRANE,OVERHEAD 10T CAP"/>
    <n v="10000"/>
    <m/>
    <d v="2025-12-10T00:00:00"/>
    <x v="0"/>
    <m/>
    <d v="2025-11-26T00:00:00"/>
    <m/>
    <m/>
    <s v="ASSEMBLY"/>
    <s v="ABUS CRANE"/>
    <s v="OVERHEAD CRANE"/>
    <n v="7701"/>
  </r>
  <r>
    <m/>
    <s v="FLPT50008"/>
    <s v="FORKLIFT PATRIA PFD50TL-1_008"/>
    <n v="5000"/>
    <m/>
    <d v="2025-12-10T00:00:00"/>
    <x v="0"/>
    <m/>
    <d v="2025-11-26T00:00:00"/>
    <m/>
    <m/>
    <s v="BRC"/>
    <s v="PATRIA"/>
    <m/>
    <s v="FLPT50008"/>
  </r>
  <r>
    <m/>
    <s v="FLPT10001"/>
    <s v="FORKLIFT PATRIA PFD100TL-1_001"/>
    <n v="10000"/>
    <m/>
    <d v="2025-12-10T00:00:00"/>
    <x v="0"/>
    <m/>
    <d v="2025-11-26T00:00:00"/>
    <m/>
    <m/>
    <s v="BRC"/>
    <s v="PATRIA"/>
    <m/>
    <s v="FLPT10001"/>
  </r>
  <r>
    <m/>
    <s v="FLPT30033"/>
    <s v="FORKLIFT PATRIA PFD30C-1_033"/>
    <n v="3000"/>
    <m/>
    <d v="2025-12-10T00:00:00"/>
    <x v="0"/>
    <m/>
    <d v="2025-11-26T00:00:00"/>
    <m/>
    <m/>
    <s v="BRC"/>
    <s v="PATRIA"/>
    <m/>
    <s v="FLPT30033"/>
  </r>
  <r>
    <m/>
    <s v="BM-MH-01"/>
    <s v="GANTRY CRANE"/>
    <n v="5000"/>
    <m/>
    <d v="2026-03-18T00:00:00"/>
    <x v="0"/>
    <m/>
    <d v="2026-03-04T00:00:00"/>
    <m/>
    <m/>
    <s v="PRE WASHING"/>
    <s v="DAVIDI INTERNATIONAL"/>
    <m/>
    <s v="BM - MH - 01"/>
  </r>
  <r>
    <m/>
    <s v="BRC-ETF-001"/>
    <s v="EXTENSION FORKLIFT"/>
    <n v="1000"/>
    <m/>
    <d v="2026-07-09T00:00:00"/>
    <x v="0"/>
    <m/>
    <d v="2026-06-25T00:00:00"/>
    <m/>
    <m/>
    <s v="FABRIKASI"/>
    <m/>
    <m/>
    <s v="BRC - ETF - 001"/>
  </r>
  <r>
    <m/>
    <s v="BRC-ETF-002"/>
    <s v="EXTENSION FORKLIFT"/>
    <n v="1000"/>
    <m/>
    <d v="2026-08-13T00:00:00"/>
    <x v="0"/>
    <m/>
    <d v="2026-07-30T00:00:00"/>
    <m/>
    <m/>
    <s v="FABRIKASI"/>
    <m/>
    <m/>
    <s v="BRC - ETF - 002"/>
  </r>
  <r>
    <m/>
    <s v="BRC-ROSD-01"/>
    <s v="ROLLOVER STAND"/>
    <n v="2500"/>
    <m/>
    <d v="2026-08-13T00:00:00"/>
    <x v="0"/>
    <m/>
    <d v="2026-07-30T00:00:00"/>
    <m/>
    <m/>
    <s v="ASSEMBLY (BAY 4)"/>
    <s v="BIP"/>
    <m/>
    <s v="BRC-ROSD-01"/>
  </r>
  <r>
    <m/>
    <s v="BRC-ROSD-02"/>
    <s v="ROLLOVER STAND"/>
    <n v="2500"/>
    <m/>
    <d v="2026-08-13T00:00:00"/>
    <x v="0"/>
    <m/>
    <d v="2026-07-30T00:00:00"/>
    <m/>
    <m/>
    <s v="ASSEMBLY (BAY 15)"/>
    <s v="BIP"/>
    <m/>
    <s v="BRC-ROSD-02"/>
  </r>
  <r>
    <m/>
    <s v="BRC-FD-01"/>
    <s v="STAND TEST BENCH FINAL DRIVE"/>
    <n v="4000"/>
    <m/>
    <d v="2026-09-07T00:00:00"/>
    <x v="0"/>
    <m/>
    <d v="2026-08-24T00:00:00"/>
    <m/>
    <m/>
    <s v="TEST BENCH"/>
    <m/>
    <m/>
    <m/>
  </r>
  <r>
    <m/>
    <s v="BRC-FD-02"/>
    <s v="STAND TEST BENCH FINAL DRIVE"/>
    <m/>
    <m/>
    <d v="2026-09-03T00:00:00"/>
    <x v="0"/>
    <m/>
    <m/>
    <m/>
    <m/>
    <s v="TEST BENCH"/>
    <m/>
    <m/>
    <m/>
  </r>
  <r>
    <m/>
    <s v="BRC-JP-04"/>
    <s v="JACK PRESS"/>
    <n v="150000"/>
    <m/>
    <d v="2026-10-03T00:00:00"/>
    <x v="0"/>
    <d v="2025-10-03T00:00:00"/>
    <m/>
    <m/>
    <n v="4010363923"/>
    <s v="DISASSEMBLY"/>
    <s v="ENERPAC"/>
    <m/>
    <m/>
  </r>
  <r>
    <m/>
    <s v="FT-3000L"/>
    <s v="Fuel Tank  "/>
    <m/>
    <s v="3000 L"/>
    <d v="2026-10-22T00:00:00"/>
    <x v="0"/>
    <d v="2025-10-22T00:00:00"/>
    <m/>
    <m/>
    <m/>
    <m/>
    <m/>
    <m/>
    <m/>
  </r>
  <r>
    <m/>
    <s v="FT-1000L"/>
    <s v="Fuel Skid 1000 L"/>
    <m/>
    <s v="1000 L"/>
    <d v="2026-10-22T00:00:00"/>
    <x v="0"/>
    <d v="2025-10-22T00:00:00"/>
    <m/>
    <m/>
    <m/>
    <s v="TEST BENCH ENGINE"/>
    <m/>
    <m/>
    <m/>
  </r>
  <r>
    <m/>
    <s v="BRC-ST-19"/>
    <s v="STAND JACK"/>
    <m/>
    <m/>
    <m/>
    <x v="3"/>
    <m/>
    <m/>
    <m/>
    <m/>
    <s v="ERRC"/>
    <m/>
    <m/>
    <m/>
  </r>
  <r>
    <m/>
    <s v="BRC-ST-20"/>
    <s v="STAND JACK"/>
    <m/>
    <m/>
    <m/>
    <x v="3"/>
    <m/>
    <m/>
    <m/>
    <m/>
    <s v="ERRC"/>
    <m/>
    <m/>
    <m/>
  </r>
  <r>
    <m/>
    <s v="BRC-ST-21"/>
    <s v="STAND JACK"/>
    <m/>
    <m/>
    <m/>
    <x v="3"/>
    <m/>
    <m/>
    <m/>
    <m/>
    <s v="ERRC"/>
    <m/>
    <m/>
    <m/>
  </r>
  <r>
    <m/>
    <s v="BRC-ST-22"/>
    <s v="STAND JACK"/>
    <m/>
    <m/>
    <m/>
    <x v="3"/>
    <m/>
    <m/>
    <m/>
    <m/>
    <s v="ERRC"/>
    <m/>
    <m/>
    <m/>
  </r>
  <r>
    <m/>
    <s v="BRC-ST-23"/>
    <s v="STAND JACK"/>
    <m/>
    <m/>
    <m/>
    <x v="3"/>
    <m/>
    <m/>
    <m/>
    <m/>
    <s v="ERRC"/>
    <m/>
    <m/>
    <m/>
  </r>
  <r>
    <m/>
    <s v="BRC-ST-24"/>
    <s v="STAND JACK"/>
    <m/>
    <m/>
    <m/>
    <x v="3"/>
    <m/>
    <m/>
    <m/>
    <m/>
    <s v="ERRC"/>
    <m/>
    <m/>
    <m/>
  </r>
  <r>
    <m/>
    <s v="BRC-ST-25"/>
    <s v="STAND JACK"/>
    <m/>
    <m/>
    <m/>
    <x v="3"/>
    <m/>
    <m/>
    <m/>
    <m/>
    <s v="ERRC"/>
    <m/>
    <m/>
    <m/>
  </r>
  <r>
    <m/>
    <s v="BRC-ST-26"/>
    <s v="STAND JACK"/>
    <m/>
    <m/>
    <m/>
    <x v="3"/>
    <m/>
    <m/>
    <m/>
    <m/>
    <s v="ERRC"/>
    <m/>
    <m/>
    <m/>
  </r>
  <r>
    <m/>
    <s v="BRC-ST-27"/>
    <s v="STAND JACK"/>
    <m/>
    <m/>
    <m/>
    <x v="3"/>
    <m/>
    <m/>
    <m/>
    <m/>
    <s v="ERRC"/>
    <m/>
    <m/>
    <m/>
  </r>
  <r>
    <m/>
    <s v="BRC-ST-28"/>
    <s v="STAND JACK"/>
    <m/>
    <m/>
    <m/>
    <x v="3"/>
    <m/>
    <m/>
    <m/>
    <m/>
    <s v="ERRC"/>
    <m/>
    <m/>
    <m/>
  </r>
  <r>
    <m/>
    <s v="BRC-ST-29"/>
    <s v="STAND JACK"/>
    <m/>
    <m/>
    <m/>
    <x v="3"/>
    <m/>
    <m/>
    <m/>
    <m/>
    <s v="ERRC"/>
    <m/>
    <m/>
    <m/>
  </r>
  <r>
    <m/>
    <s v="BRC-ST-30"/>
    <s v="STAND JACK"/>
    <m/>
    <m/>
    <m/>
    <x v="3"/>
    <m/>
    <m/>
    <m/>
    <m/>
    <s v="ERRC"/>
    <m/>
    <m/>
    <m/>
  </r>
  <r>
    <m/>
    <s v="BRC-ST-31"/>
    <s v="STAND JACK"/>
    <m/>
    <m/>
    <m/>
    <x v="3"/>
    <m/>
    <m/>
    <m/>
    <m/>
    <s v="ERRC"/>
    <m/>
    <m/>
    <m/>
  </r>
  <r>
    <m/>
    <s v="BRC-ST-32"/>
    <s v="STAND JACK"/>
    <m/>
    <m/>
    <m/>
    <x v="3"/>
    <m/>
    <m/>
    <m/>
    <m/>
    <s v="ERRC"/>
    <m/>
    <m/>
    <m/>
  </r>
  <r>
    <m/>
    <s v="BRC-ST-33"/>
    <s v="STAND JACK"/>
    <m/>
    <m/>
    <m/>
    <x v="3"/>
    <m/>
    <m/>
    <m/>
    <m/>
    <s v="ERRC"/>
    <m/>
    <m/>
    <m/>
  </r>
  <r>
    <m/>
    <s v="BRC-ST-34"/>
    <s v="STAND JACK"/>
    <m/>
    <m/>
    <m/>
    <x v="3"/>
    <m/>
    <m/>
    <m/>
    <m/>
    <s v="ERRC"/>
    <m/>
    <m/>
    <m/>
  </r>
  <r>
    <m/>
    <s v="BRC-ST-35"/>
    <s v="STAND JACK"/>
    <m/>
    <m/>
    <m/>
    <x v="3"/>
    <m/>
    <m/>
    <m/>
    <m/>
    <s v="ERRC"/>
    <m/>
    <m/>
    <m/>
  </r>
  <r>
    <m/>
    <s v="BRC-ST-36"/>
    <s v="STAND JACK"/>
    <m/>
    <m/>
    <m/>
    <x v="3"/>
    <m/>
    <m/>
    <m/>
    <m/>
    <s v="ERRC"/>
    <m/>
    <m/>
    <m/>
  </r>
  <r>
    <m/>
    <s v="BRC-ST-37"/>
    <s v="STAND JACK"/>
    <m/>
    <m/>
    <m/>
    <x v="3"/>
    <m/>
    <m/>
    <m/>
    <m/>
    <s v="ERRC"/>
    <m/>
    <m/>
    <m/>
  </r>
  <r>
    <m/>
    <s v="BRC-ST-38"/>
    <s v="STAND JACK"/>
    <m/>
    <m/>
    <m/>
    <x v="3"/>
    <m/>
    <m/>
    <m/>
    <m/>
    <s v="ERRC"/>
    <m/>
    <m/>
    <m/>
  </r>
  <r>
    <m/>
    <s v="BRC-ST-39"/>
    <s v="STAND JACK"/>
    <m/>
    <m/>
    <m/>
    <x v="3"/>
    <m/>
    <m/>
    <m/>
    <m/>
    <s v="ERRC"/>
    <m/>
    <m/>
    <m/>
  </r>
  <r>
    <m/>
    <s v="BRC-ST-40"/>
    <s v="STAND JACK"/>
    <m/>
    <m/>
    <m/>
    <x v="3"/>
    <m/>
    <m/>
    <m/>
    <m/>
    <s v="ERRC"/>
    <m/>
    <m/>
    <m/>
  </r>
  <r>
    <m/>
    <s v="BRC-ST-41"/>
    <s v="STAND JACK"/>
    <m/>
    <m/>
    <m/>
    <x v="3"/>
    <m/>
    <m/>
    <m/>
    <m/>
    <s v="ERRC"/>
    <m/>
    <m/>
    <m/>
  </r>
  <r>
    <m/>
    <s v="BRC-ST-42"/>
    <s v="STAND JACK"/>
    <m/>
    <m/>
    <m/>
    <x v="3"/>
    <m/>
    <m/>
    <m/>
    <m/>
    <s v="ERRC"/>
    <m/>
    <m/>
    <m/>
  </r>
  <r>
    <m/>
    <s v="BRC-ST-43"/>
    <s v="STAND JACK"/>
    <m/>
    <m/>
    <m/>
    <x v="3"/>
    <m/>
    <m/>
    <m/>
    <m/>
    <s v="ERRC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">
  <r>
    <s v="BM-ES-01"/>
    <s v="ELECTRIC STACKER"/>
    <n v="2000"/>
    <m/>
    <d v="2025-04-30T00:00:00"/>
    <x v="0"/>
    <m/>
    <m/>
    <n v="1010281980"/>
    <n v="4010360257"/>
    <s v="FABRIKASI"/>
    <s v="HUBWAGEN"/>
    <s v="BREAKDOWN"/>
  </r>
  <r>
    <s v="BRC-JP-02"/>
    <s v="JACK PRESS"/>
    <n v="100000"/>
    <m/>
    <d v="2025-09-09T00:00:00"/>
    <x v="0"/>
    <m/>
    <m/>
    <n v="1010280232"/>
    <n v="4010359799"/>
    <s v="ASSEMBLY"/>
    <s v="ENERPAC"/>
    <s v="BREAKDOWN"/>
  </r>
  <r>
    <s v="BRC-HP-05"/>
    <s v="HAND PALLET"/>
    <n v="3000"/>
    <m/>
    <d v="2025-09-09T00:00:00"/>
    <x v="0"/>
    <m/>
    <m/>
    <n v="1010282621"/>
    <n v="4010361029"/>
    <s v="ERRC"/>
    <m/>
    <s v="BREAKDOWN"/>
  </r>
  <r>
    <s v="BRC-HP-02"/>
    <s v="HAND PALLET"/>
    <n v="3000"/>
    <m/>
    <d v="2025-12-03T00:00:00"/>
    <x v="1"/>
    <m/>
    <m/>
    <m/>
    <m/>
    <s v="ERRC"/>
    <m/>
    <s v="BREAKDOWN"/>
  </r>
  <r>
    <s v="BRC-ST-01"/>
    <s v="STAND JACK"/>
    <n v="20000"/>
    <m/>
    <d v="2025-12-03T00:00:00"/>
    <x v="1"/>
    <m/>
    <d v="2025-11-19T00:00:00"/>
    <m/>
    <m/>
    <m/>
    <m/>
    <m/>
  </r>
  <r>
    <s v="BRC-ST-004"/>
    <s v="STAND JACK"/>
    <n v="20000"/>
    <m/>
    <d v="2025-12-03T00:00:00"/>
    <x v="1"/>
    <m/>
    <d v="2025-11-19T00:00:00"/>
    <m/>
    <m/>
    <m/>
    <m/>
    <m/>
  </r>
  <r>
    <s v="BRC-ST-005"/>
    <s v="STAND JACK"/>
    <n v="20000"/>
    <m/>
    <d v="2025-12-03T00:00:00"/>
    <x v="1"/>
    <m/>
    <d v="2025-11-19T00:00:00"/>
    <m/>
    <m/>
    <m/>
    <m/>
    <m/>
  </r>
  <r>
    <s v="BRC-ST-006"/>
    <s v="STAND JACK"/>
    <n v="20000"/>
    <m/>
    <d v="2025-12-03T00:00:00"/>
    <x v="1"/>
    <m/>
    <d v="2025-11-19T00:00:00"/>
    <m/>
    <m/>
    <m/>
    <m/>
    <m/>
  </r>
  <r>
    <s v="BRC-ST-007"/>
    <s v="STAND JACK"/>
    <n v="20000"/>
    <m/>
    <d v="2025-12-03T00:00:00"/>
    <x v="1"/>
    <m/>
    <d v="2025-11-19T00:00:00"/>
    <m/>
    <m/>
    <m/>
    <m/>
    <m/>
  </r>
  <r>
    <s v="BRC-ST-008"/>
    <s v="STAND JACK"/>
    <n v="20000"/>
    <m/>
    <d v="2025-12-03T00:00:00"/>
    <x v="1"/>
    <m/>
    <d v="2025-11-19T00:00:00"/>
    <m/>
    <m/>
    <m/>
    <m/>
    <m/>
  </r>
  <r>
    <s v="BRC-STR-01"/>
    <s v="STAND TRANSMISSION"/>
    <n v="2500"/>
    <m/>
    <d v="2025-12-03T00:00:00"/>
    <x v="1"/>
    <m/>
    <d v="2025-11-19T00:00:00"/>
    <m/>
    <m/>
    <s v="ASSEMBLY"/>
    <m/>
    <m/>
  </r>
  <r>
    <s v="BRC-STR-02"/>
    <s v="STAND TRANSMISSION"/>
    <n v="2500"/>
    <m/>
    <d v="2025-12-03T00:00:00"/>
    <x v="1"/>
    <m/>
    <d v="2025-11-19T00:00:00"/>
    <m/>
    <m/>
    <s v="ASSEMBLY"/>
    <m/>
    <m/>
  </r>
  <r>
    <s v="BRC-STR-03"/>
    <s v="STAND TRANSMISSION"/>
    <n v="2500"/>
    <m/>
    <d v="2025-12-03T00:00:00"/>
    <x v="1"/>
    <m/>
    <d v="2025-11-19T00:00:00"/>
    <m/>
    <m/>
    <s v="ASSEMBLY"/>
    <m/>
    <m/>
  </r>
  <r>
    <s v="BRC-STR-04"/>
    <s v="STAND TRANSMISSION"/>
    <n v="2500"/>
    <m/>
    <d v="2025-12-03T00:00:00"/>
    <x v="1"/>
    <m/>
    <d v="2025-11-19T00:00:00"/>
    <m/>
    <m/>
    <s v="ASSEMBLY"/>
    <m/>
    <m/>
  </r>
  <r>
    <s v="BRC-STR-05"/>
    <s v="STAND TRANSMISSION"/>
    <n v="2500"/>
    <m/>
    <d v="2025-12-03T00:00:00"/>
    <x v="1"/>
    <m/>
    <d v="2025-11-19T00:00:00"/>
    <m/>
    <m/>
    <s v="ASSEMBLY"/>
    <m/>
    <m/>
  </r>
  <r>
    <s v="BRC-STR-06"/>
    <s v="STAND TRANSMISSION"/>
    <n v="2500"/>
    <m/>
    <d v="2025-12-03T00:00:00"/>
    <x v="1"/>
    <m/>
    <d v="2025-11-19T00:00:00"/>
    <m/>
    <m/>
    <s v="ASSEMBLY"/>
    <m/>
    <m/>
  </r>
  <r>
    <s v="BRC-STR-07"/>
    <s v="STAND TRANSMISSION"/>
    <n v="2500"/>
    <m/>
    <d v="2025-12-03T00:00:00"/>
    <x v="1"/>
    <m/>
    <d v="2025-11-19T00:00:00"/>
    <m/>
    <m/>
    <s v="ASSEMBLY"/>
    <m/>
    <m/>
  </r>
  <r>
    <s v="BRC-STR-08"/>
    <s v="STAND TRANSMISSION"/>
    <n v="2500"/>
    <m/>
    <d v="2025-12-03T00:00:00"/>
    <x v="1"/>
    <m/>
    <d v="2025-11-19T00:00:00"/>
    <m/>
    <m/>
    <s v="ASSEMBLY"/>
    <m/>
    <m/>
  </r>
  <r>
    <s v="BRC-STR-09"/>
    <s v="STAND TRANSMISSION"/>
    <n v="2500"/>
    <m/>
    <d v="2025-12-03T00:00:00"/>
    <x v="1"/>
    <m/>
    <d v="2025-11-19T00:00:00"/>
    <m/>
    <m/>
    <s v="ASSEMBLY"/>
    <m/>
    <m/>
  </r>
  <r>
    <s v="BRC-TW-01"/>
    <s v="TABLE WORK"/>
    <m/>
    <m/>
    <d v="2025-12-03T00:00:00"/>
    <x v="1"/>
    <m/>
    <m/>
    <m/>
    <m/>
    <s v="ASSEMBLY"/>
    <m/>
    <m/>
  </r>
  <r>
    <s v="BRC-TW-02"/>
    <s v="TABLE WORK"/>
    <m/>
    <m/>
    <d v="2025-12-03T00:00:00"/>
    <x v="1"/>
    <m/>
    <d v="2025-11-19T00:00:00"/>
    <m/>
    <m/>
    <s v="ASSEMBLY"/>
    <m/>
    <m/>
  </r>
  <r>
    <s v="BRC-TW-03"/>
    <s v="TABLE WORK"/>
    <n v="500"/>
    <m/>
    <d v="2025-12-03T00:00:00"/>
    <x v="1"/>
    <m/>
    <d v="2025-11-19T00:00:00"/>
    <m/>
    <m/>
    <s v="ASSEMBLY"/>
    <m/>
    <m/>
  </r>
  <r>
    <s v="BRC-TJRO-02"/>
    <s v="TOOL JACK &amp; ROLL OVER STAND ENGINE"/>
    <n v="9072"/>
    <m/>
    <d v="2025-12-03T00:00:00"/>
    <x v="1"/>
    <m/>
    <d v="2025-11-19T00:00:00"/>
    <m/>
    <m/>
    <s v="DISASSEMBLY"/>
    <m/>
    <m/>
  </r>
  <r>
    <s v="BUMA-WIP-RRHD-01"/>
    <s v="RACK REPAIR HEAVY DUTY"/>
    <n v="2500"/>
    <m/>
    <d v="2025-12-04T00:00:00"/>
    <x v="1"/>
    <m/>
    <d v="2025-11-20T00:00:00"/>
    <m/>
    <m/>
    <s v="WIP"/>
    <s v="KITARACK"/>
    <m/>
  </r>
  <r>
    <s v="BUMA-WIP-RRHD-02"/>
    <s v="RACK REPAIR HEAVY DUTY"/>
    <n v="2500"/>
    <m/>
    <d v="2025-12-04T00:00:00"/>
    <x v="1"/>
    <m/>
    <d v="2025-11-20T00:00:00"/>
    <m/>
    <m/>
    <s v="WIP"/>
    <s v="KITARACK"/>
    <m/>
  </r>
  <r>
    <s v="BUMA-WIP-RRHD-03"/>
    <s v="RACK REPAIR HEAVY DUTY"/>
    <n v="2500"/>
    <m/>
    <d v="2025-12-04T00:00:00"/>
    <x v="1"/>
    <m/>
    <d v="2025-11-20T00:00:00"/>
    <m/>
    <m/>
    <s v="WIP"/>
    <s v="KITARACK"/>
    <m/>
  </r>
  <r>
    <s v="BUMA-WIP-RRHD-04"/>
    <s v="RACK REPAIR HEAVY DUTY"/>
    <n v="2500"/>
    <m/>
    <d v="2025-12-04T00:00:00"/>
    <x v="1"/>
    <m/>
    <d v="2025-11-20T00:00:00"/>
    <m/>
    <m/>
    <s v="WIP"/>
    <s v="KITARACK"/>
    <m/>
  </r>
  <r>
    <s v="BUMA-WIP-RRHD-05"/>
    <s v="RACK REPAIR HEAVY DUTY"/>
    <n v="2500"/>
    <m/>
    <d v="2025-12-04T00:00:00"/>
    <x v="1"/>
    <m/>
    <d v="2025-11-20T00:00:00"/>
    <m/>
    <m/>
    <s v="WIP"/>
    <s v="KITARACK"/>
    <m/>
  </r>
  <r>
    <s v="BUMA-WIP-RRHD-06"/>
    <s v="RACK REPAIR HEAVY DUTY"/>
    <n v="2500"/>
    <m/>
    <d v="2025-12-04T00:00:00"/>
    <x v="1"/>
    <m/>
    <d v="2025-11-20T00:00:00"/>
    <m/>
    <m/>
    <s v="WIP"/>
    <s v="KITARACK"/>
    <m/>
  </r>
  <r>
    <s v="BUMA-WIP-RRHD-07"/>
    <s v="RACK REPAIR HEAVY DUTY"/>
    <n v="2500"/>
    <m/>
    <d v="2025-12-04T00:00:00"/>
    <x v="1"/>
    <m/>
    <d v="2025-11-20T00:00:00"/>
    <m/>
    <m/>
    <s v="WIP"/>
    <s v="KITARACK"/>
    <m/>
  </r>
  <r>
    <s v="BUMA-WIP-RRHD-08"/>
    <s v="RACK REPAIR HEAVY DUTY"/>
    <n v="2500"/>
    <m/>
    <d v="2025-12-04T00:00:00"/>
    <x v="1"/>
    <m/>
    <d v="2025-11-20T00:00:00"/>
    <m/>
    <m/>
    <s v="WIP"/>
    <s v="KITARACK"/>
    <m/>
  </r>
  <r>
    <s v="BUMA-WIP-RRHD-09"/>
    <s v="RACK REPAIR HEAVY DUTY"/>
    <n v="2500"/>
    <m/>
    <d v="2025-12-04T00:00:00"/>
    <x v="1"/>
    <m/>
    <d v="2025-11-20T00:00:00"/>
    <m/>
    <m/>
    <s v="WIP"/>
    <s v="KITARACK"/>
    <m/>
  </r>
  <r>
    <s v="BUMA-WIP-RRHD-10"/>
    <s v="RACK REPAIR HEAVY DUTY"/>
    <n v="2500"/>
    <m/>
    <d v="2025-12-04T00:00:00"/>
    <x v="1"/>
    <m/>
    <d v="2025-11-20T00:00:00"/>
    <m/>
    <m/>
    <s v="WIP"/>
    <s v="KITARACK"/>
    <m/>
  </r>
  <r>
    <s v="BUMA-WIP-RRHD-11"/>
    <s v="RACK REPAIR HEAVY DUTY"/>
    <n v="2500"/>
    <m/>
    <d v="2025-12-04T00:00:00"/>
    <x v="1"/>
    <m/>
    <d v="2025-11-20T00:00:00"/>
    <m/>
    <m/>
    <s v="WIP"/>
    <s v="KITARACK"/>
    <m/>
  </r>
  <r>
    <s v="BUMA-WIP-RRHD-12"/>
    <s v="RACK REPAIR HEAVY DUTY"/>
    <n v="2500"/>
    <m/>
    <d v="2025-12-04T00:00:00"/>
    <x v="1"/>
    <m/>
    <d v="2025-11-20T00:00:00"/>
    <m/>
    <m/>
    <s v="WIP"/>
    <s v="KITARACK"/>
    <m/>
  </r>
  <r>
    <s v="BUMA-WIP-RRHD-13"/>
    <s v="RACK REPAIR HEAVY DUTY"/>
    <n v="2500"/>
    <m/>
    <d v="2025-12-04T00:00:00"/>
    <x v="1"/>
    <m/>
    <d v="2025-11-20T00:00:00"/>
    <m/>
    <m/>
    <s v="WIP"/>
    <s v="KITARACK"/>
    <m/>
  </r>
  <r>
    <s v="BUMA-SR-RRHD-01"/>
    <s v="RACK REPAIR HEAVY DUTY"/>
    <n v="2500"/>
    <m/>
    <d v="2025-12-04T00:00:00"/>
    <x v="1"/>
    <m/>
    <d v="2025-11-20T00:00:00"/>
    <m/>
    <m/>
    <s v="STRORAGE REPAIR"/>
    <s v="KITARACK"/>
    <m/>
  </r>
  <r>
    <s v="BUMA-SR-RRHD-02"/>
    <s v="RACK REPAIR HEAVY DUTY"/>
    <n v="2500"/>
    <m/>
    <d v="2025-12-04T00:00:00"/>
    <x v="1"/>
    <m/>
    <d v="2025-11-20T00:00:00"/>
    <m/>
    <m/>
    <s v="STRORAGE REPAIR"/>
    <s v="KITARACK"/>
    <m/>
  </r>
  <r>
    <s v="BUMA-SR-RRHD-03"/>
    <s v="RACK REPAIR HEAVY DUTY"/>
    <n v="2500"/>
    <m/>
    <d v="2025-12-04T00:00:00"/>
    <x v="1"/>
    <m/>
    <d v="2025-11-20T00:00:00"/>
    <m/>
    <m/>
    <s v="STRORAGE REPAIR"/>
    <s v="KITARACK"/>
    <m/>
  </r>
  <r>
    <s v="BUMA-SR-RRHD-04"/>
    <s v="RACK REPAIR HEAVY DUTY"/>
    <n v="2500"/>
    <m/>
    <d v="2025-12-04T00:00:00"/>
    <x v="1"/>
    <m/>
    <d v="2025-11-20T00:00:00"/>
    <m/>
    <m/>
    <s v="STRORAGE REPAIR"/>
    <s v="KITARACK"/>
    <m/>
  </r>
  <r>
    <s v="BUMA-SR-RRHD-05"/>
    <s v="RACK REPAIR HEAVY DUTY"/>
    <n v="2500"/>
    <m/>
    <d v="2025-12-04T00:00:00"/>
    <x v="1"/>
    <m/>
    <d v="2025-11-20T00:00:00"/>
    <m/>
    <m/>
    <s v="STRORAGE REPAIR"/>
    <s v="KITARACK"/>
    <m/>
  </r>
  <r>
    <s v="BUMA-SR-RRHD-06"/>
    <s v="RACK REPAIR HEAVY DUTY"/>
    <n v="2500"/>
    <m/>
    <d v="2025-12-04T00:00:00"/>
    <x v="1"/>
    <m/>
    <d v="2025-11-20T00:00:00"/>
    <m/>
    <m/>
    <s v="STRORAGE REPAIR"/>
    <s v="KITARACK"/>
    <m/>
  </r>
  <r>
    <s v="BUMA-SR-RRHD-07"/>
    <s v="RACK REPAIR HEAVY DUTY"/>
    <n v="2500"/>
    <m/>
    <d v="2025-12-04T00:00:00"/>
    <x v="1"/>
    <m/>
    <d v="2025-11-20T00:00:00"/>
    <m/>
    <m/>
    <s v="STRORAGE REPAIR"/>
    <s v="KITARACK"/>
    <m/>
  </r>
  <r>
    <s v="BUMA-SR-RRHD-08"/>
    <s v="RACK REPAIR HEAVY DUTY"/>
    <n v="2500"/>
    <m/>
    <d v="2025-12-04T00:00:00"/>
    <x v="1"/>
    <m/>
    <d v="2025-11-20T00:00:00"/>
    <m/>
    <m/>
    <s v="STRORAGE REPAIR"/>
    <s v="KITARACK"/>
    <m/>
  </r>
  <r>
    <s v="BUMA-SR-RRHD-09"/>
    <s v="RACK REPAIR HEAVY DUTY"/>
    <n v="2500"/>
    <m/>
    <d v="2025-12-04T00:00:00"/>
    <x v="1"/>
    <m/>
    <d v="2025-11-20T00:00:00"/>
    <m/>
    <m/>
    <s v="STRORAGE REPAIR"/>
    <s v="KITARACK"/>
    <m/>
  </r>
  <r>
    <s v="BUMA-SR-RRHD-10"/>
    <s v="RACK REPAIR HEAVY DUTY"/>
    <n v="2500"/>
    <m/>
    <d v="2025-12-04T00:00:00"/>
    <x v="1"/>
    <m/>
    <d v="2025-11-20T00:00:00"/>
    <m/>
    <m/>
    <s v="STRORAGE REPAIR"/>
    <s v="KITARACK"/>
    <m/>
  </r>
  <r>
    <s v="BUMA-SR-RRHD-11"/>
    <s v="RACK REPAIR HEAVY DUTY"/>
    <n v="2500"/>
    <m/>
    <d v="2025-12-04T00:00:00"/>
    <x v="1"/>
    <m/>
    <d v="2025-11-20T00:00:00"/>
    <m/>
    <m/>
    <s v="STRORAGE REPAIR"/>
    <s v="KITARACK"/>
    <m/>
  </r>
  <r>
    <s v="BUMA-SR-RRHD-12"/>
    <s v="RACK REPAIR HEAVY DUTY"/>
    <n v="2500"/>
    <m/>
    <d v="2025-12-04T00:00:00"/>
    <x v="1"/>
    <m/>
    <d v="2025-11-20T00:00:00"/>
    <m/>
    <m/>
    <s v="STRORAGE REPAIR"/>
    <s v="KITARACK"/>
    <m/>
  </r>
  <r>
    <s v="BUMA-SR-RRHD-13"/>
    <s v="RACK REPAIR HEAVY DUTY"/>
    <n v="2500"/>
    <m/>
    <d v="2025-12-04T00:00:00"/>
    <x v="1"/>
    <m/>
    <d v="2025-11-20T00:00:00"/>
    <m/>
    <m/>
    <s v="STRORAGE REPAIR"/>
    <s v="KITARACK"/>
    <m/>
  </r>
  <r>
    <s v="BUMA-SR-RRHD-14"/>
    <s v="RACK REPAIR HEAVY DUTY"/>
    <n v="2500"/>
    <m/>
    <d v="2025-12-04T00:00:00"/>
    <x v="1"/>
    <m/>
    <d v="2025-11-20T00:00:00"/>
    <m/>
    <m/>
    <s v="STRORAGE REPAIR"/>
    <s v="KITARACK"/>
    <m/>
  </r>
  <r>
    <s v="BM-CS-7701"/>
    <s v="CHAIN SLING"/>
    <n v="5500"/>
    <m/>
    <d v="2025-12-10T00:00:00"/>
    <x v="1"/>
    <m/>
    <d v="2025-11-26T00:00:00"/>
    <m/>
    <m/>
    <m/>
    <m/>
    <m/>
  </r>
  <r>
    <n v="7709"/>
    <s v="CRANE, WALL TRAVEL 2T"/>
    <n v="2000"/>
    <m/>
    <d v="2025-12-10T00:00:00"/>
    <x v="1"/>
    <m/>
    <m/>
    <m/>
    <m/>
    <s v="DISASSEMBLY"/>
    <s v="ABUS CRANE"/>
    <m/>
  </r>
  <r>
    <n v="7710"/>
    <s v="CRANE, WALL TRAVEL 2T"/>
    <n v="2000"/>
    <m/>
    <d v="2025-12-10T00:00:00"/>
    <x v="1"/>
    <m/>
    <d v="2025-11-26T00:00:00"/>
    <m/>
    <m/>
    <s v="DISASSEMBLY"/>
    <s v="ABUS CRANE"/>
    <s v="WALL TRAVELLING JIB CRANE"/>
  </r>
  <r>
    <s v="WCAB03001"/>
    <s v="CRANE, WALL TRAVEL 3.2T CAP(span 8000mm)"/>
    <n v="3200"/>
    <m/>
    <d v="2025-12-10T00:00:00"/>
    <x v="1"/>
    <m/>
    <d v="2025-11-26T00:00:00"/>
    <m/>
    <m/>
    <s v="ASSEMBLY"/>
    <s v="ABUS CRANE"/>
    <s v="WALL TRAVELLING JIB CRANE"/>
  </r>
  <r>
    <s v="WCAB03002"/>
    <s v="CRANE, WALL TRAVEL 3.2T CAP(span 4000mm)"/>
    <n v="3200"/>
    <m/>
    <d v="2025-12-10T00:00:00"/>
    <x v="1"/>
    <m/>
    <d v="2025-11-26T00:00:00"/>
    <m/>
    <m/>
    <s v="ASSEMBLY"/>
    <s v="ABUS CRANE"/>
    <s v="WALL TRAVELLING JIB CRANE"/>
  </r>
  <r>
    <s v="WCAB05001"/>
    <s v="CRANE, WALL TRAVEL 5T CAP (span 8000mm)"/>
    <n v="5000"/>
    <m/>
    <d v="2025-12-10T00:00:00"/>
    <x v="1"/>
    <m/>
    <d v="2025-11-26T00:00:00"/>
    <m/>
    <m/>
    <s v="ASSEMBLY"/>
    <s v="ABUS CRANE"/>
    <s v="WALL TRAVELLING JIB CRANE"/>
  </r>
  <r>
    <s v="WCAB05002"/>
    <s v="CRANE, WALL TRAVEL 5T CAP (span 4000mm)"/>
    <n v="5000"/>
    <m/>
    <d v="2025-12-10T00:00:00"/>
    <x v="1"/>
    <m/>
    <d v="2025-11-26T00:00:00"/>
    <m/>
    <m/>
    <s v="ASSEMBLY"/>
    <s v="ABUS CRANE"/>
    <s v="WALL TRAVELLING JIB CRANE"/>
  </r>
  <r>
    <s v="WCAB07001"/>
    <s v="CRANE, WALL TRAVEL 7.5T CAP #1"/>
    <n v="7500"/>
    <m/>
    <d v="2025-12-10T00:00:00"/>
    <x v="1"/>
    <m/>
    <d v="2025-11-26T00:00:00"/>
    <m/>
    <m/>
    <s v="ASSEMBLY"/>
    <s v="ABUS CRANE"/>
    <s v="WALL TRAVELLING JIB CRANE"/>
  </r>
  <r>
    <s v="WCAB07002"/>
    <s v="CRANE, WALL TRAVEL 7.5T CAP #2"/>
    <n v="7500"/>
    <m/>
    <d v="2025-12-10T00:00:00"/>
    <x v="1"/>
    <m/>
    <d v="2025-11-26T00:00:00"/>
    <m/>
    <m/>
    <s v="DISASSEMBLY"/>
    <s v="ABUS CRANE"/>
    <s v="WALL TRAVELLING JIB CRANE"/>
  </r>
  <r>
    <s v="OCAB03001"/>
    <s v="CRANE,OVERHEAD 3.2T CAP"/>
    <n v="3200"/>
    <m/>
    <d v="2025-12-10T00:00:00"/>
    <x v="1"/>
    <m/>
    <d v="2025-11-26T00:00:00"/>
    <m/>
    <m/>
    <s v="TEST BENCH PT"/>
    <s v="ABUS CRANE"/>
    <s v="OVERHEAD CRANE"/>
  </r>
  <r>
    <s v="OCAB10001"/>
    <s v="CRANE,OVERHEAD 10T CAP"/>
    <n v="10000"/>
    <m/>
    <d v="2025-12-10T00:00:00"/>
    <x v="1"/>
    <m/>
    <d v="2025-11-26T00:00:00"/>
    <m/>
    <m/>
    <s v="ASSEMBLY"/>
    <s v="ABUS CRANE"/>
    <s v="OVERHEAD CRANE"/>
  </r>
  <r>
    <s v="FLPT50008"/>
    <s v="FORKLIFT PATRIA PFD50TL-1_008"/>
    <n v="5000"/>
    <m/>
    <d v="2025-12-10T00:00:00"/>
    <x v="1"/>
    <m/>
    <d v="2025-11-26T00:00:00"/>
    <m/>
    <m/>
    <s v="BRC"/>
    <s v="PATRIA"/>
    <m/>
  </r>
  <r>
    <s v="FLPT10001"/>
    <s v="FORKLIFT PATRIA PFD100TL-1_001"/>
    <n v="10000"/>
    <m/>
    <d v="2025-12-10T00:00:00"/>
    <x v="1"/>
    <m/>
    <d v="2025-11-26T00:00:00"/>
    <m/>
    <m/>
    <s v="BRC"/>
    <s v="PATRIA"/>
    <m/>
  </r>
  <r>
    <s v="FLPT30033"/>
    <s v="FORKLIFT PATRIA PFD30C-1_033"/>
    <n v="3000"/>
    <m/>
    <d v="2025-12-10T00:00:00"/>
    <x v="1"/>
    <m/>
    <d v="2025-11-26T00:00:00"/>
    <m/>
    <m/>
    <s v="BRC"/>
    <s v="PATRIA"/>
    <m/>
  </r>
  <r>
    <s v="BM-ART-02"/>
    <s v="AIR RECIEVER TANK"/>
    <m/>
    <s v="10 BAR (145 Psig)"/>
    <d v="2026-01-15T00:00:00"/>
    <x v="1"/>
    <m/>
    <m/>
    <n v="1010282621"/>
    <n v="4010361029"/>
    <s v="BRC"/>
    <m/>
    <m/>
  </r>
  <r>
    <s v="BM-ART-01"/>
    <s v="AIR RECIEVER TANK"/>
    <m/>
    <s v="10 BAR (145 Psig)"/>
    <d v="2026-01-15T00:00:00"/>
    <x v="1"/>
    <m/>
    <m/>
    <n v="1010282621"/>
    <n v="4010361029"/>
    <s v="BRC"/>
    <m/>
    <m/>
  </r>
  <r>
    <s v="ACAT37001"/>
    <s v="AIR COMPRESSOR ATLAS COPCO RS37IE"/>
    <s v="15 Bar ( 217 Psig ) "/>
    <m/>
    <d v="2026-01-16T00:00:00"/>
    <x v="1"/>
    <m/>
    <d v="2026-01-02T00:00:00"/>
    <m/>
    <m/>
    <s v="BRC"/>
    <s v="ATLAS COPCO"/>
    <m/>
  </r>
  <r>
    <s v="BM-MH-01"/>
    <s v="GANTRY CRANE"/>
    <n v="5000"/>
    <m/>
    <d v="2026-03-18T00:00:00"/>
    <x v="1"/>
    <m/>
    <d v="2026-03-04T00:00:00"/>
    <m/>
    <m/>
    <s v="PRE WASHING"/>
    <s v="DAVIDI INTERNATIONAL"/>
    <m/>
  </r>
  <r>
    <s v="BRC-ETF-001"/>
    <s v="EXTENSION FORKLIFT"/>
    <n v="1000"/>
    <m/>
    <d v="2026-07-09T00:00:00"/>
    <x v="1"/>
    <m/>
    <d v="2026-06-25T00:00:00"/>
    <m/>
    <m/>
    <s v="FABRIKASI"/>
    <m/>
    <m/>
  </r>
  <r>
    <s v="BRC-SA-02"/>
    <s v="STAND ASSEMBLY"/>
    <n v="500"/>
    <m/>
    <d v="2026-08-13T00:00:00"/>
    <x v="1"/>
    <m/>
    <m/>
    <n v="1010281980"/>
    <n v="4010360257"/>
    <s v="ASSEMBLY"/>
    <m/>
    <m/>
  </r>
  <r>
    <s v="BRC-ETF-002"/>
    <s v="EXTENSION FORKLIFT"/>
    <n v="1000"/>
    <m/>
    <d v="2026-08-13T00:00:00"/>
    <x v="1"/>
    <m/>
    <d v="2026-07-30T00:00:00"/>
    <m/>
    <m/>
    <s v="FABRIKASI"/>
    <m/>
    <m/>
  </r>
  <r>
    <s v="BRC-ROSD-01"/>
    <s v="ROLLOVER STAND"/>
    <n v="2500"/>
    <m/>
    <d v="2026-08-13T00:00:00"/>
    <x v="1"/>
    <m/>
    <d v="2026-07-30T00:00:00"/>
    <m/>
    <m/>
    <s v="ASSEMBLY (BAY 4)"/>
    <s v="BIP"/>
    <m/>
  </r>
  <r>
    <s v="BRC-ROSD-02"/>
    <s v="ROLLOVER STAND"/>
    <n v="2500"/>
    <m/>
    <d v="2026-08-13T00:00:00"/>
    <x v="1"/>
    <m/>
    <d v="2026-07-30T00:00:00"/>
    <m/>
    <m/>
    <s v="ASSEMBLY (BAY 15)"/>
    <s v="BIP"/>
    <m/>
  </r>
  <r>
    <s v="BRC-HP-01"/>
    <s v="HAND PALLET"/>
    <n v="3000"/>
    <m/>
    <d v="2026-08-31T00:00:00"/>
    <x v="1"/>
    <d v="2025-08-31T00:00:00"/>
    <m/>
    <m/>
    <m/>
    <m/>
    <m/>
    <m/>
  </r>
  <r>
    <s v="BRC-HP-03"/>
    <s v="HAND PALLET"/>
    <n v="3000"/>
    <m/>
    <d v="2026-08-31T00:00:00"/>
    <x v="1"/>
    <d v="2025-08-31T00:00:00"/>
    <m/>
    <m/>
    <m/>
    <m/>
    <m/>
    <m/>
  </r>
  <r>
    <s v="BRC-HP-04"/>
    <s v="HAND PALLET"/>
    <n v="3000"/>
    <m/>
    <d v="2026-08-31T00:00:00"/>
    <x v="1"/>
    <d v="2025-08-31T00:00:00"/>
    <m/>
    <m/>
    <m/>
    <m/>
    <m/>
    <m/>
  </r>
  <r>
    <s v="BRC-HP-06"/>
    <s v="HAND PALLET"/>
    <n v="3000"/>
    <m/>
    <d v="2026-08-31T00:00:00"/>
    <x v="1"/>
    <d v="2025-08-31T00:00:00"/>
    <m/>
    <m/>
    <m/>
    <m/>
    <m/>
    <m/>
  </r>
  <r>
    <s v="BRC-HP-07"/>
    <s v="HAND PALLET"/>
    <n v="3000"/>
    <m/>
    <d v="2026-08-31T00:00:00"/>
    <x v="1"/>
    <d v="2025-08-31T00:00:00"/>
    <m/>
    <m/>
    <m/>
    <m/>
    <m/>
    <m/>
  </r>
  <r>
    <s v="BRC-JP-03"/>
    <s v="JACK PRESS"/>
    <n v="30000"/>
    <m/>
    <d v="2026-09-03T00:00:00"/>
    <x v="1"/>
    <m/>
    <m/>
    <n v="1010280232"/>
    <n v="4010359799"/>
    <s v="ASSEMBLY"/>
    <s v="ENERPAC"/>
    <m/>
  </r>
  <r>
    <s v="BRC-SRL-01"/>
    <s v="MAN LIFT"/>
    <n v="200"/>
    <m/>
    <d v="2026-09-03T00:00:00"/>
    <x v="1"/>
    <m/>
    <m/>
    <n v="1010280232"/>
    <n v="4010359799"/>
    <s v="ASSEMBLY"/>
    <s v="KRISBOW"/>
    <m/>
  </r>
  <r>
    <s v="BRC-ST-02"/>
    <s v="STAND JACK"/>
    <n v="20000"/>
    <m/>
    <d v="2026-09-03T00:00:00"/>
    <x v="1"/>
    <m/>
    <m/>
    <n v="1010280232"/>
    <n v="4010359799"/>
    <s v="ERRC"/>
    <s v="DAVIDI INTERNATIONAL"/>
    <m/>
  </r>
  <r>
    <s v="BRC-ST-05"/>
    <s v="STAND JACK"/>
    <n v="20000"/>
    <m/>
    <d v="2026-09-03T00:00:00"/>
    <x v="1"/>
    <m/>
    <m/>
    <n v="1010280232"/>
    <n v="4010359799"/>
    <s v="ERRC"/>
    <m/>
    <m/>
  </r>
  <r>
    <s v="BRC-ST-06"/>
    <s v="STAND JACK"/>
    <n v="20000"/>
    <m/>
    <d v="2026-09-03T00:00:00"/>
    <x v="1"/>
    <m/>
    <m/>
    <n v="1010280232"/>
    <n v="4010359799"/>
    <s v="ERRC"/>
    <m/>
    <m/>
  </r>
  <r>
    <s v="BRC-ST-07"/>
    <s v="STAND JACK"/>
    <n v="20000"/>
    <m/>
    <d v="2026-09-03T00:00:00"/>
    <x v="1"/>
    <m/>
    <m/>
    <n v="1010280232"/>
    <n v="4010359799"/>
    <s v="ERRC"/>
    <m/>
    <m/>
  </r>
  <r>
    <s v="BRC-ST-08"/>
    <s v="STAND JACK"/>
    <n v="20000"/>
    <m/>
    <d v="2026-09-03T00:00:00"/>
    <x v="1"/>
    <m/>
    <m/>
    <n v="1010280232"/>
    <n v="4010359799"/>
    <s v="ERRC"/>
    <m/>
    <m/>
  </r>
  <r>
    <s v="BRC-ST-09"/>
    <s v="STAND JACK"/>
    <n v="20000"/>
    <m/>
    <d v="2026-09-03T00:00:00"/>
    <x v="1"/>
    <m/>
    <m/>
    <n v="1010280232"/>
    <n v="4010359799"/>
    <s v="ERRC"/>
    <m/>
    <m/>
  </r>
  <r>
    <s v="BRC-ST-10"/>
    <s v="STAND JACK"/>
    <n v="20000"/>
    <m/>
    <d v="2026-09-03T00:00:00"/>
    <x v="1"/>
    <m/>
    <m/>
    <n v="1010280232"/>
    <n v="4010359799"/>
    <s v="ERRC"/>
    <m/>
    <m/>
  </r>
  <r>
    <s v="BRC-ST-12"/>
    <s v="STAND JACK"/>
    <n v="20000"/>
    <m/>
    <d v="2026-09-03T00:00:00"/>
    <x v="1"/>
    <m/>
    <m/>
    <n v="1010280232"/>
    <n v="4010359799"/>
    <s v="ERRC"/>
    <s v="DAVIDI INTERNATIONAL"/>
    <m/>
  </r>
  <r>
    <s v="BRC-ST-13"/>
    <s v="STAND JACK"/>
    <n v="20000"/>
    <m/>
    <d v="2026-09-03T00:00:00"/>
    <x v="1"/>
    <m/>
    <m/>
    <n v="1010280232"/>
    <n v="4010359799"/>
    <s v="ERRC"/>
    <s v="DAVIDI INTERNATIONAL"/>
    <m/>
  </r>
  <r>
    <s v="BRC-ST-14"/>
    <s v="STAND JACK"/>
    <n v="60000"/>
    <m/>
    <d v="2026-09-03T00:00:00"/>
    <x v="1"/>
    <m/>
    <m/>
    <n v="1010280232"/>
    <n v="4010359799"/>
    <s v="ERRC"/>
    <s v="FATOOLS"/>
    <m/>
  </r>
  <r>
    <s v="BRC-ST-15"/>
    <s v="STAND JACK"/>
    <n v="20000"/>
    <m/>
    <d v="2026-09-03T00:00:00"/>
    <x v="1"/>
    <m/>
    <m/>
    <n v="1010280232"/>
    <n v="4010359799"/>
    <s v="ERRC"/>
    <m/>
    <m/>
  </r>
  <r>
    <s v="BRC-ST-16"/>
    <s v="STAND JACK"/>
    <n v="50000"/>
    <m/>
    <d v="2026-09-03T00:00:00"/>
    <x v="1"/>
    <m/>
    <m/>
    <n v="1010280232"/>
    <n v="4010359799"/>
    <s v="ERRC"/>
    <s v="DAVIDI INTERNATIONAL"/>
    <m/>
  </r>
  <r>
    <s v="BRC-ST-17"/>
    <s v="STAND JACK"/>
    <n v="50000"/>
    <m/>
    <d v="2026-09-03T00:00:00"/>
    <x v="1"/>
    <m/>
    <m/>
    <n v="1010280232"/>
    <n v="4010359799"/>
    <s v="ERRC"/>
    <s v="DAVIDI INTERNATIONAL"/>
    <m/>
  </r>
  <r>
    <s v="BRC-ST-18"/>
    <s v="STAND JACK"/>
    <n v="50000"/>
    <m/>
    <d v="2026-09-03T00:00:00"/>
    <x v="1"/>
    <m/>
    <m/>
    <n v="1010280232"/>
    <n v="4010359799"/>
    <s v="ERRC"/>
    <s v="DAVIDI INTERNATIONAL"/>
    <m/>
  </r>
  <r>
    <s v="BRC-FD-02"/>
    <s v="STAND TEST BENCH FINAL DRIVE"/>
    <m/>
    <m/>
    <d v="2026-09-03T00:00:00"/>
    <x v="1"/>
    <m/>
    <m/>
    <m/>
    <m/>
    <s v="TEST BENCH"/>
    <m/>
    <m/>
  </r>
  <r>
    <s v="BRC-FD-01"/>
    <s v="STAND TEST BENCH FINAL DRIVE"/>
    <n v="4000"/>
    <m/>
    <d v="2026-09-07T00:00:00"/>
    <x v="1"/>
    <m/>
    <d v="2026-08-24T00:00:00"/>
    <m/>
    <m/>
    <s v="TEST BENCH"/>
    <m/>
    <m/>
  </r>
  <r>
    <s v="BRC-TLCH-01"/>
    <s v="TEST LEAKING CYLINDRE HEAD "/>
    <m/>
    <s v="1KG/ 14 Psig"/>
    <d v="2026-09-09T00:00:00"/>
    <x v="1"/>
    <d v="2025-09-09T00:00:00"/>
    <m/>
    <m/>
    <m/>
    <m/>
    <m/>
    <m/>
  </r>
  <r>
    <s v="BRC-LB-01"/>
    <s v="LINK BRACKET"/>
    <n v="1021"/>
    <s v="3/8 inch"/>
    <d v="2026-09-09T00:00:00"/>
    <x v="1"/>
    <d v="2025-09-11T00:00:00"/>
    <m/>
    <m/>
    <m/>
    <s v="TOOL ROOM"/>
    <s v="CATERPILLAR"/>
    <s v="BRC - LB - 01 - 22"/>
  </r>
  <r>
    <s v="BRC-LB-02"/>
    <s v="LINK BRACKET"/>
    <n v="1021"/>
    <s v="3/8 inch"/>
    <d v="2026-09-09T00:00:00"/>
    <x v="1"/>
    <d v="2025-09-11T00:00:00"/>
    <m/>
    <m/>
    <m/>
    <s v="TOOL ROOM"/>
    <s v="CATERPILLAR"/>
    <s v="BRC - LB - 01 - 22"/>
  </r>
  <r>
    <s v="BRC-LB-03"/>
    <s v="LINK BRACKET"/>
    <n v="1021"/>
    <s v="3/8 inch"/>
    <d v="2026-09-09T00:00:00"/>
    <x v="1"/>
    <d v="2025-09-11T00:00:00"/>
    <m/>
    <m/>
    <m/>
    <s v="TOOL ROOM"/>
    <s v="CATERPILLAR"/>
    <s v="BRC - LB - 01 - 22"/>
  </r>
  <r>
    <s v="BRC-LB-04"/>
    <s v="LINK BRACKET"/>
    <n v="1021"/>
    <s v="3/8 inch"/>
    <d v="2026-09-09T00:00:00"/>
    <x v="1"/>
    <d v="2025-09-11T00:00:00"/>
    <m/>
    <m/>
    <m/>
    <s v="TOOL ROOM"/>
    <s v="CATERPILLAR"/>
    <s v="BRC - LB - 01 - 22"/>
  </r>
  <r>
    <s v="BRC-LB-05"/>
    <s v="LINK BRACKET"/>
    <n v="1814"/>
    <s v="1/2 inch"/>
    <d v="2026-09-09T00:00:00"/>
    <x v="1"/>
    <d v="2025-09-11T00:00:00"/>
    <m/>
    <m/>
    <m/>
    <s v="TOOL ROOM"/>
    <s v="CATERPILLAR"/>
    <s v="BRC - LB - 01 - 22"/>
  </r>
  <r>
    <s v="BRC-LB-06"/>
    <s v="LINK BRACKET"/>
    <n v="1814"/>
    <s v="1/2 inch"/>
    <d v="2026-09-09T00:00:00"/>
    <x v="1"/>
    <d v="2025-09-11T00:00:00"/>
    <m/>
    <m/>
    <m/>
    <s v="TOOL ROOM"/>
    <s v="CATERPILLAR"/>
    <s v="BRC - LB - 01 - 22"/>
  </r>
  <r>
    <s v="BRC-LB-07"/>
    <s v="LINK BRACKET"/>
    <n v="1814"/>
    <s v="1/2 inch"/>
    <d v="2026-09-09T00:00:00"/>
    <x v="1"/>
    <d v="2025-09-11T00:00:00"/>
    <m/>
    <m/>
    <m/>
    <s v="TOOL ROOM"/>
    <s v="CATERPILLAR"/>
    <s v="BRC - LB - 01 - 22"/>
  </r>
  <r>
    <s v="BRC-LB-08"/>
    <s v="LINK BRACKET"/>
    <n v="1814"/>
    <s v="1/2 inch"/>
    <d v="2026-09-09T00:00:00"/>
    <x v="1"/>
    <d v="2025-09-11T00:00:00"/>
    <m/>
    <m/>
    <m/>
    <s v="TOOL ROOM"/>
    <s v="CATERPILLAR"/>
    <s v="BRC - LB - 01 - 22"/>
  </r>
  <r>
    <s v="BRC-LB-09"/>
    <s v="LINK BRACKET"/>
    <n v="1814"/>
    <s v="1/2 inch"/>
    <d v="2026-09-09T00:00:00"/>
    <x v="1"/>
    <d v="2025-09-11T00:00:00"/>
    <m/>
    <m/>
    <m/>
    <s v="TOOL ROOM"/>
    <s v="CATERPILLAR"/>
    <s v="BRC - LB - 01 - 22"/>
  </r>
  <r>
    <s v="BRC-LB-10"/>
    <s v="LINK BRACKET"/>
    <n v="1814"/>
    <s v="1/2 inch"/>
    <d v="2026-09-09T00:00:00"/>
    <x v="1"/>
    <d v="2025-09-11T00:00:00"/>
    <m/>
    <m/>
    <m/>
    <s v="TOOL ROOM"/>
    <s v="CATERPILLAR"/>
    <s v="BRC - LB - 01 - 22"/>
  </r>
  <r>
    <s v="BRC-LB-11"/>
    <s v="LINK BRACKET"/>
    <n v="1814"/>
    <s v="1/2 inch"/>
    <d v="2026-09-09T00:00:00"/>
    <x v="1"/>
    <d v="2025-09-11T00:00:00"/>
    <m/>
    <m/>
    <m/>
    <s v="TOOL ROOM"/>
    <s v="CATERPILLAR"/>
    <s v="BRC - LB - 01 - 22"/>
  </r>
  <r>
    <s v="BRC-LB-12"/>
    <s v="LINK BRACKET"/>
    <n v="4082"/>
    <s v="3/4 inch"/>
    <d v="2026-09-09T00:00:00"/>
    <x v="1"/>
    <d v="2025-09-11T00:00:00"/>
    <m/>
    <m/>
    <m/>
    <s v="TOOL ROOM"/>
    <s v="CATERPILLAR"/>
    <s v="BRC - LB - 01 - 22"/>
  </r>
  <r>
    <s v="BRC-LB-13"/>
    <s v="LINK BRACKET"/>
    <n v="4082"/>
    <s v="3/4 inch"/>
    <d v="2026-09-09T00:00:00"/>
    <x v="1"/>
    <d v="2025-09-11T00:00:00"/>
    <m/>
    <m/>
    <m/>
    <s v="TOOL ROOM"/>
    <s v="CATERPILLAR"/>
    <s v="BRC - LB - 01 - 22"/>
  </r>
  <r>
    <s v="BRC-LB-14"/>
    <s v="LINK BRACKET"/>
    <n v="4082"/>
    <s v="3/4 inch"/>
    <d v="2026-09-09T00:00:00"/>
    <x v="1"/>
    <d v="2025-09-11T00:00:00"/>
    <m/>
    <m/>
    <m/>
    <s v="TOOL ROOM"/>
    <s v="CATERPILLAR"/>
    <s v="BRC - LB - 01 - 22"/>
  </r>
  <r>
    <s v="BRC-LB-15"/>
    <s v="LINK BRACKET"/>
    <n v="4082"/>
    <s v="3/4 inch"/>
    <d v="2026-09-09T00:00:00"/>
    <x v="1"/>
    <d v="2025-09-11T00:00:00"/>
    <m/>
    <m/>
    <m/>
    <s v="TOOL ROOM"/>
    <s v="CATERPILLAR"/>
    <s v="BRC - LB - 01 - 22"/>
  </r>
  <r>
    <s v="BRC-LB-16"/>
    <s v="LINK BRACKET"/>
    <n v="4082"/>
    <s v="3/4 inch"/>
    <d v="2026-09-09T00:00:00"/>
    <x v="1"/>
    <d v="2025-09-11T00:00:00"/>
    <m/>
    <m/>
    <m/>
    <s v="TOOL ROOM"/>
    <s v="CATERPILLAR"/>
    <s v="BRC - LB - 01 - 22"/>
  </r>
  <r>
    <s v="BRC-LB-17"/>
    <s v="LINK BRACKET"/>
    <n v="4082"/>
    <s v="1-1/4 inch"/>
    <d v="2026-09-09T00:00:00"/>
    <x v="1"/>
    <d v="2025-09-11T00:00:00"/>
    <m/>
    <m/>
    <m/>
    <s v="TOOL ROOM"/>
    <s v="CATERPILLAR"/>
    <s v="BRC - LB - 01 - 22"/>
  </r>
  <r>
    <s v="BRC-LB-18"/>
    <s v="LINK BRACKET"/>
    <n v="4082"/>
    <s v="1-1/4 inch"/>
    <d v="2026-09-09T00:00:00"/>
    <x v="1"/>
    <d v="2025-09-11T00:00:00"/>
    <m/>
    <m/>
    <m/>
    <s v="TOOL ROOM"/>
    <s v="CATERPILLAR"/>
    <s v="BRC - LB - 01 - 22"/>
  </r>
  <r>
    <s v="BRC-LB-19"/>
    <s v="LINK BRACKET"/>
    <n v="4082"/>
    <s v="1-1/4 inch"/>
    <d v="2026-09-09T00:00:00"/>
    <x v="1"/>
    <d v="2025-09-11T00:00:00"/>
    <m/>
    <m/>
    <m/>
    <s v="TOOL ROOM"/>
    <s v="CATERPILLAR"/>
    <s v="BRC - LB - 01 - 22"/>
  </r>
  <r>
    <s v="BRC-LB-20"/>
    <s v="LINK BRACKET"/>
    <n v="4082"/>
    <s v="1-1/4 inch"/>
    <d v="2026-09-09T00:00:00"/>
    <x v="1"/>
    <d v="2025-09-11T00:00:00"/>
    <m/>
    <m/>
    <m/>
    <s v="TOOL ROOM"/>
    <s v="CATERPILLAR"/>
    <s v="BRC - LB - 01 - 22"/>
  </r>
  <r>
    <s v="BRC-LB-21"/>
    <s v="LINK BRACKET"/>
    <n v="4082"/>
    <s v="1-1/4 inch"/>
    <d v="2026-09-09T00:00:00"/>
    <x v="1"/>
    <d v="2025-09-11T00:00:00"/>
    <m/>
    <m/>
    <m/>
    <s v="TOOL ROOM"/>
    <s v="CATERPILLAR"/>
    <s v="BRC - LB - 01 - 22"/>
  </r>
  <r>
    <s v="BRC-LB-22"/>
    <s v="LINK BRACKET"/>
    <n v="4082"/>
    <s v="1-1/4 inch"/>
    <d v="2026-09-09T00:00:00"/>
    <x v="1"/>
    <d v="2025-09-11T00:00:00"/>
    <m/>
    <m/>
    <m/>
    <s v="TOOL ROOM"/>
    <s v="CATERPILLAR"/>
    <s v="BRC - LB - 01 - 22"/>
  </r>
  <r>
    <s v="BRC-EB-01"/>
    <s v="EYE BOLT"/>
    <n v="150"/>
    <s v="3/8 inch"/>
    <d v="2026-09-09T00:00:00"/>
    <x v="1"/>
    <d v="2025-09-09T00:00:00"/>
    <m/>
    <m/>
    <m/>
    <s v="TOOL ROOM"/>
    <s v="HC"/>
    <s v="BRC - EB - 01 - 42"/>
  </r>
  <r>
    <s v="BRC-EB-02"/>
    <s v="EYE BOLT"/>
    <n v="150"/>
    <s v="3/8 inch"/>
    <d v="2026-09-09T00:00:00"/>
    <x v="1"/>
    <d v="2025-09-09T00:00:00"/>
    <m/>
    <m/>
    <m/>
    <s v="TOOL ROOM"/>
    <s v="HC"/>
    <s v="BRC - EB - 01 - 42"/>
  </r>
  <r>
    <s v="BRC-EB-03"/>
    <s v="EYE BOLT"/>
    <n v="150"/>
    <s v="3/8 inch"/>
    <d v="2026-09-09T00:00:00"/>
    <x v="1"/>
    <d v="2025-09-09T00:00:00"/>
    <m/>
    <m/>
    <m/>
    <s v="TOOL ROOM"/>
    <s v="HC"/>
    <s v="BRC - EB - 01 - 42"/>
  </r>
  <r>
    <s v="BRC-EB-04"/>
    <s v="EYE BOLT"/>
    <n v="150"/>
    <s v="3/8 inch"/>
    <d v="2026-09-09T00:00:00"/>
    <x v="1"/>
    <d v="2025-09-09T00:00:00"/>
    <m/>
    <m/>
    <m/>
    <s v="TOOL ROOM"/>
    <s v="HC"/>
    <s v="BRC - EB - 01 - 42"/>
  </r>
  <r>
    <s v="BRC-EB-05"/>
    <s v="EYE BOLT"/>
    <n v="150"/>
    <s v="10 mm"/>
    <d v="2026-09-09T00:00:00"/>
    <x v="1"/>
    <d v="2025-09-09T00:00:00"/>
    <m/>
    <m/>
    <m/>
    <s v="TOOL ROOM"/>
    <s v="HC"/>
    <s v="BRC - EB - 01 - 42"/>
  </r>
  <r>
    <s v="BRC-EB-06"/>
    <s v="EYE BOLT"/>
    <n v="150"/>
    <s v="10 mm"/>
    <d v="2026-09-09T00:00:00"/>
    <x v="1"/>
    <d v="2025-09-09T00:00:00"/>
    <m/>
    <m/>
    <m/>
    <s v="TOOL ROOM"/>
    <s v="HC"/>
    <s v="BRC - EB - 01 - 42"/>
  </r>
  <r>
    <s v="BRC-EB-07"/>
    <s v="EYE BOLT"/>
    <n v="150"/>
    <s v="10 mm"/>
    <d v="2026-09-09T00:00:00"/>
    <x v="1"/>
    <d v="2025-09-09T00:00:00"/>
    <m/>
    <m/>
    <m/>
    <s v="TOOL ROOM"/>
    <s v="HC"/>
    <s v="BRC - EB - 01 - 42"/>
  </r>
  <r>
    <s v="BRC-EB-08"/>
    <s v="EYE BOLT"/>
    <n v="220"/>
    <s v="12 mm"/>
    <d v="2026-09-09T00:00:00"/>
    <x v="1"/>
    <d v="2025-09-09T00:00:00"/>
    <m/>
    <m/>
    <m/>
    <s v="TOOL ROOM"/>
    <s v="HC"/>
    <s v="BRC - EB - 01 - 42"/>
  </r>
  <r>
    <s v="BRC-EB-09"/>
    <s v="EYE BOLT"/>
    <n v="220"/>
    <s v="12 mm"/>
    <d v="2026-09-09T00:00:00"/>
    <x v="1"/>
    <d v="2025-09-09T00:00:00"/>
    <m/>
    <m/>
    <m/>
    <s v="TOOL ROOM"/>
    <s v="HC"/>
    <s v="BRC - EB - 01 - 42"/>
  </r>
  <r>
    <s v="BRC-EB-10"/>
    <s v="EYE BOLT"/>
    <n v="220"/>
    <s v="12 mm"/>
    <d v="2026-09-09T00:00:00"/>
    <x v="1"/>
    <d v="2025-09-09T00:00:00"/>
    <m/>
    <m/>
    <m/>
    <s v="TOOL ROOM"/>
    <s v="HC"/>
    <s v="BRC - EB - 01 - 42"/>
  </r>
  <r>
    <s v="BRC-EB-11"/>
    <s v="EYE BOLT"/>
    <n v="450"/>
    <s v="16 mm"/>
    <d v="2026-09-09T00:00:00"/>
    <x v="1"/>
    <d v="2025-09-09T00:00:00"/>
    <m/>
    <m/>
    <m/>
    <s v="TOOL ROOM"/>
    <s v="HC"/>
    <s v="BRC - EB - 01 - 42"/>
  </r>
  <r>
    <s v="BRC-EB-12"/>
    <s v="EYE BOLT"/>
    <n v="450"/>
    <s v="5/8 inch"/>
    <d v="2026-09-09T00:00:00"/>
    <x v="1"/>
    <d v="2025-09-09T00:00:00"/>
    <m/>
    <m/>
    <m/>
    <s v="TOOL ROOM"/>
    <s v="HC"/>
    <s v="BRC - EB - 01 - 42"/>
  </r>
  <r>
    <s v="BRC-EB-13"/>
    <s v="EYE BOLT"/>
    <n v="450"/>
    <s v="5/8 inch"/>
    <d v="2026-09-09T00:00:00"/>
    <x v="1"/>
    <d v="2025-09-09T00:00:00"/>
    <m/>
    <m/>
    <m/>
    <s v="TOOL ROOM"/>
    <s v="HC"/>
    <s v="BRC - EB - 01 - 42"/>
  </r>
  <r>
    <s v="BRC-EB-14"/>
    <s v="EYE BOLT"/>
    <n v="450"/>
    <s v="5/8 inch"/>
    <d v="2026-09-09T00:00:00"/>
    <x v="1"/>
    <d v="2025-09-09T00:00:00"/>
    <m/>
    <m/>
    <m/>
    <s v="TOOL ROOM"/>
    <s v="HC"/>
    <s v="BRC - EB - 01 - 42"/>
  </r>
  <r>
    <s v="BRC-EB-15"/>
    <s v="EYE BOLT"/>
    <n v="630"/>
    <s v="18 mm"/>
    <d v="2026-09-09T00:00:00"/>
    <x v="1"/>
    <d v="2025-09-09T00:00:00"/>
    <m/>
    <m/>
    <m/>
    <s v="TOOL ROOM"/>
    <s v="HC"/>
    <s v="BRC - EB - 01 - 42"/>
  </r>
  <r>
    <s v="BRC-EB-16"/>
    <s v="EYE BOLT"/>
    <n v="630"/>
    <s v="18 mm"/>
    <d v="2026-09-09T00:00:00"/>
    <x v="1"/>
    <d v="2025-09-09T00:00:00"/>
    <m/>
    <m/>
    <m/>
    <s v="TOOL ROOM"/>
    <s v="HC"/>
    <s v="BRC - EB - 01 - 42"/>
  </r>
  <r>
    <s v="BRC-EB-17"/>
    <s v="EYE BOLT"/>
    <n v="630"/>
    <s v="3/4 inch"/>
    <d v="2026-09-09T00:00:00"/>
    <x v="1"/>
    <d v="2025-09-09T00:00:00"/>
    <m/>
    <m/>
    <m/>
    <s v="TOOL ROOM"/>
    <s v="HC"/>
    <s v="BRC - EB - 01 - 42"/>
  </r>
  <r>
    <s v="BRC-EB-18"/>
    <s v="EYE BOLT"/>
    <n v="630"/>
    <s v="3/4 inch"/>
    <d v="2026-09-09T00:00:00"/>
    <x v="1"/>
    <d v="2025-09-09T00:00:00"/>
    <m/>
    <m/>
    <m/>
    <s v="TOOL ROOM"/>
    <s v="HC"/>
    <s v="BRC - EB - 01 - 42"/>
  </r>
  <r>
    <s v="BRC-EB-19"/>
    <s v="EYE BOLT"/>
    <n v="630"/>
    <s v="20 mm"/>
    <d v="2026-09-09T00:00:00"/>
    <x v="1"/>
    <d v="2025-09-09T00:00:00"/>
    <m/>
    <m/>
    <m/>
    <s v="TOOL ROOM"/>
    <s v="HC"/>
    <s v="BRC - EB - 01 - 42"/>
  </r>
  <r>
    <s v="BRC-EB-20"/>
    <s v="EYE BOLT"/>
    <n v="630"/>
    <s v="20 mm"/>
    <d v="2026-09-09T00:00:00"/>
    <x v="1"/>
    <d v="2025-09-09T00:00:00"/>
    <m/>
    <m/>
    <m/>
    <s v="TOOL ROOM"/>
    <s v="HC"/>
    <s v="BRC - EB - 01 - 42"/>
  </r>
  <r>
    <s v="BRC-EB-21"/>
    <s v="EYE BOLT"/>
    <n v="700"/>
    <s v="16 mm"/>
    <d v="2026-09-09T00:00:00"/>
    <x v="1"/>
    <d v="2025-09-09T00:00:00"/>
    <m/>
    <m/>
    <m/>
    <s v="TOOL ROOM"/>
    <s v="HC"/>
    <s v="BRC - EB - 01 - 42"/>
  </r>
  <r>
    <s v="BRC-EB-22"/>
    <s v="EYE BOLT"/>
    <n v="700"/>
    <s v="16 mm"/>
    <d v="2026-09-09T00:00:00"/>
    <x v="1"/>
    <d v="2025-09-09T00:00:00"/>
    <m/>
    <m/>
    <m/>
    <s v="TOOL ROOM"/>
    <s v="HC"/>
    <s v="BRC - EB - 01 - 42"/>
  </r>
  <r>
    <s v="BRC-EB-23"/>
    <s v="EYE BOLT"/>
    <n v="700"/>
    <s v="16 mm"/>
    <d v="2026-09-09T00:00:00"/>
    <x v="1"/>
    <d v="2025-09-09T00:00:00"/>
    <m/>
    <m/>
    <m/>
    <s v="TOOL ROOM"/>
    <s v="HC"/>
    <s v="BRC - EB - 01 - 42"/>
  </r>
  <r>
    <s v="BRC-EB-24"/>
    <s v="EYE BOLT"/>
    <n v="700"/>
    <s v="16 mm"/>
    <d v="2026-09-09T00:00:00"/>
    <x v="1"/>
    <d v="2025-09-09T00:00:00"/>
    <m/>
    <m/>
    <m/>
    <s v="TOOL ROOM"/>
    <s v="HC"/>
    <s v="BRC - EB - 01 - 42"/>
  </r>
  <r>
    <s v="BRC-EB-25"/>
    <s v="EYE BOLT"/>
    <n v="700"/>
    <s v="7/8 inch"/>
    <d v="2026-09-09T00:00:00"/>
    <x v="1"/>
    <d v="2025-09-09T00:00:00"/>
    <m/>
    <m/>
    <m/>
    <s v="TOOL ROOM"/>
    <s v="HC"/>
    <s v="BRC - EB - 01 - 42"/>
  </r>
  <r>
    <s v="BRC-EB-26"/>
    <s v="EYE BOLT"/>
    <n v="700"/>
    <s v="7/8 inch"/>
    <d v="2026-09-09T00:00:00"/>
    <x v="1"/>
    <d v="2025-09-09T00:00:00"/>
    <m/>
    <m/>
    <m/>
    <s v="TOOL ROOM"/>
    <s v="HC"/>
    <s v="BRC - EB - 01 - 42"/>
  </r>
  <r>
    <s v="BRC-EB-27"/>
    <s v="EYE BOLT"/>
    <n v="700"/>
    <s v="7/8 inch"/>
    <d v="2026-09-09T00:00:00"/>
    <x v="1"/>
    <d v="2025-09-09T00:00:00"/>
    <m/>
    <m/>
    <m/>
    <s v="TOOL ROOM"/>
    <s v="HC"/>
    <s v="BRC - EB - 01 - 42"/>
  </r>
  <r>
    <s v="BRC-EB-28"/>
    <s v="EYE BOLT"/>
    <n v="950"/>
    <s v="24 mm"/>
    <d v="2026-09-09T00:00:00"/>
    <x v="1"/>
    <d v="2025-09-09T00:00:00"/>
    <m/>
    <m/>
    <m/>
    <s v="TOOL ROOM"/>
    <s v="HC"/>
    <s v="BRC - EB - 01 - 42"/>
  </r>
  <r>
    <s v="BRC-EB-29"/>
    <s v="EYE BOLT"/>
    <n v="950"/>
    <s v="24 mm"/>
    <d v="2026-09-09T00:00:00"/>
    <x v="1"/>
    <d v="2025-09-09T00:00:00"/>
    <m/>
    <m/>
    <m/>
    <s v="TOOL ROOM"/>
    <s v="HC"/>
    <s v="BRC - EB - 01 - 42"/>
  </r>
  <r>
    <s v="BRC-EB-30"/>
    <s v="EYE BOLT"/>
    <n v="950"/>
    <s v="24 mm"/>
    <d v="2026-09-09T00:00:00"/>
    <x v="1"/>
    <d v="2025-09-09T00:00:00"/>
    <m/>
    <m/>
    <m/>
    <s v="TOOL ROOM"/>
    <s v="HC"/>
    <s v="BRC - EB - 01 - 42"/>
  </r>
  <r>
    <s v="BRC-EB-31"/>
    <s v="EYE BOLT"/>
    <n v="950"/>
    <s v="1 inch"/>
    <d v="2026-09-09T00:00:00"/>
    <x v="1"/>
    <d v="2025-09-09T00:00:00"/>
    <m/>
    <m/>
    <m/>
    <s v="TOOL ROOM"/>
    <s v="HC"/>
    <s v="BRC - EB - 01 - 42"/>
  </r>
  <r>
    <s v="BRC-EB-32"/>
    <s v="EYE BOLT"/>
    <n v="950"/>
    <s v="1 inch"/>
    <d v="2026-09-09T00:00:00"/>
    <x v="1"/>
    <d v="2025-09-09T00:00:00"/>
    <m/>
    <m/>
    <m/>
    <s v="TOOL ROOM"/>
    <s v="HC"/>
    <s v="BRC - EB - 01 - 42"/>
  </r>
  <r>
    <s v="BRC-EB-33"/>
    <s v="EYE BOLT"/>
    <n v="950"/>
    <s v="1 inch"/>
    <d v="2026-09-09T00:00:00"/>
    <x v="1"/>
    <d v="2025-09-09T00:00:00"/>
    <m/>
    <m/>
    <m/>
    <s v="TOOL ROOM"/>
    <s v="HC"/>
    <s v="BRC - EB - 01 - 42"/>
  </r>
  <r>
    <s v="BRC-EB-34"/>
    <s v="EYE BOLT"/>
    <n v="1200"/>
    <s v="3/4 inch"/>
    <d v="2026-09-09T00:00:00"/>
    <x v="1"/>
    <d v="2025-09-09T00:00:00"/>
    <m/>
    <m/>
    <m/>
    <s v="TOOL ROOM"/>
    <s v="HC"/>
    <s v="BRC - EB - 01 - 42"/>
  </r>
  <r>
    <s v="BRC-EB-35"/>
    <s v="EYE BOLT"/>
    <n v="1200"/>
    <s v="3/4 inch"/>
    <d v="2026-09-09T00:00:00"/>
    <x v="1"/>
    <d v="2025-09-09T00:00:00"/>
    <m/>
    <m/>
    <m/>
    <s v="TOOL ROOM"/>
    <s v="HC"/>
    <s v="BRC - EB - 01 - 42"/>
  </r>
  <r>
    <s v="BRC-EB-36"/>
    <s v="EYE BOLT"/>
    <n v="1200"/>
    <s v="20 mm"/>
    <d v="2026-09-09T00:00:00"/>
    <x v="1"/>
    <d v="2025-09-09T00:00:00"/>
    <m/>
    <m/>
    <m/>
    <s v="TOOL ROOM"/>
    <s v="HC"/>
    <s v="BRC - EB - 01 - 42"/>
  </r>
  <r>
    <s v="BRC-EB-37"/>
    <s v="EYE BOLT"/>
    <n v="1500"/>
    <s v="30 mm"/>
    <d v="2026-09-09T00:00:00"/>
    <x v="1"/>
    <d v="2025-09-09T00:00:00"/>
    <m/>
    <m/>
    <m/>
    <s v="TOOL ROOM"/>
    <s v="HC"/>
    <s v="BRC - EB - 01 - 42"/>
  </r>
  <r>
    <s v="BRC-EB-38"/>
    <s v="EYE BOLT"/>
    <n v="1500"/>
    <s v="30 mm"/>
    <d v="2026-09-09T00:00:00"/>
    <x v="1"/>
    <d v="2025-09-09T00:00:00"/>
    <m/>
    <m/>
    <m/>
    <s v="TOOL ROOM"/>
    <s v="HC"/>
    <s v="BRC - EB - 01 - 42"/>
  </r>
  <r>
    <s v="BRC-EB-39"/>
    <s v="EYE BOLT"/>
    <n v="1500"/>
    <s v="30 mm"/>
    <d v="2026-09-09T00:00:00"/>
    <x v="1"/>
    <d v="2025-09-09T00:00:00"/>
    <m/>
    <m/>
    <m/>
    <s v="TOOL ROOM"/>
    <s v="HC"/>
    <s v="BRC - EB - 01 - 42"/>
  </r>
  <r>
    <s v="BRC-EB-40"/>
    <s v="EYE BOLT"/>
    <n v="2700"/>
    <s v="1-1/8 inch"/>
    <d v="2026-09-09T00:00:00"/>
    <x v="1"/>
    <d v="2025-09-09T00:00:00"/>
    <m/>
    <m/>
    <m/>
    <s v="TOOL ROOM"/>
    <s v="HC"/>
    <s v="BRC - EB - 01 - 42"/>
  </r>
  <r>
    <s v="BRC-EB-41"/>
    <s v="EYE BOLT"/>
    <n v="2700"/>
    <s v="1-1/8 inch"/>
    <d v="2026-09-09T00:00:00"/>
    <x v="1"/>
    <d v="2025-09-09T00:00:00"/>
    <m/>
    <m/>
    <m/>
    <s v="TOOL ROOM"/>
    <s v="HC"/>
    <s v="BRC - EB - 01 - 42"/>
  </r>
  <r>
    <s v="BRC-EB-42"/>
    <s v="EYE BOLT"/>
    <n v="2700"/>
    <s v="1-1/8 inch"/>
    <d v="2026-09-09T00:00:00"/>
    <x v="1"/>
    <d v="2025-09-09T00:00:00"/>
    <m/>
    <m/>
    <m/>
    <s v="TOOL ROOM"/>
    <s v="HC"/>
    <s v="BRC - EB - 01 - 42"/>
  </r>
  <r>
    <s v="BRC-RG-01"/>
    <s v="RING GEAR 785-7"/>
    <n v="100"/>
    <m/>
    <d v="2026-09-09T00:00:00"/>
    <x v="1"/>
    <d v="2025-09-09T00:00:00"/>
    <m/>
    <m/>
    <m/>
    <s v="TOOL ROOM"/>
    <m/>
    <s v="BRC - RG - 01 - 06"/>
  </r>
  <r>
    <s v="BRC-RG-02"/>
    <s v="RING GEAR 785-7"/>
    <n v="100"/>
    <m/>
    <d v="2026-09-09T00:00:00"/>
    <x v="1"/>
    <d v="2025-09-09T00:00:00"/>
    <m/>
    <m/>
    <m/>
    <s v="TOOL ROOM"/>
    <m/>
    <s v="BRC - RG - 01 - 06"/>
  </r>
  <r>
    <s v="BRC-RG-03"/>
    <s v="RING GEAR 785-7"/>
    <n v="100"/>
    <m/>
    <d v="2026-09-09T00:00:00"/>
    <x v="1"/>
    <d v="2025-09-09T00:00:00"/>
    <m/>
    <m/>
    <m/>
    <s v="TOOL ROOM"/>
    <m/>
    <s v="BRC - RG - 01 - 06"/>
  </r>
  <r>
    <s v="BRC-SC-01"/>
    <s v="SHACKLE"/>
    <n v="1000"/>
    <s v="3/8 inch"/>
    <d v="2026-09-09T00:00:00"/>
    <x v="1"/>
    <d v="2025-09-09T00:00:00"/>
    <m/>
    <m/>
    <m/>
    <s v="TOOL ROOM"/>
    <s v="PWB"/>
    <s v="BRC - SC - 01 - 15"/>
  </r>
  <r>
    <s v="BRC-SC-02"/>
    <s v="SHACKLE"/>
    <n v="1000"/>
    <s v="3/8 inch"/>
    <d v="2026-09-09T00:00:00"/>
    <x v="1"/>
    <d v="2025-09-09T00:00:00"/>
    <m/>
    <m/>
    <m/>
    <s v="TOOL ROOM"/>
    <s v="PWB"/>
    <s v="BRC - SC - 01 - 15"/>
  </r>
  <r>
    <s v="BRC-SC-03"/>
    <s v="SHACKLE"/>
    <n v="1000"/>
    <s v="3/8 inch"/>
    <d v="2026-09-09T00:00:00"/>
    <x v="1"/>
    <d v="2025-09-09T00:00:00"/>
    <m/>
    <m/>
    <m/>
    <s v="TOOL ROOM"/>
    <s v="PWB"/>
    <s v="BRC - SC - 01 - 15"/>
  </r>
  <r>
    <s v="BRC-SC-04"/>
    <s v="SHACKLE"/>
    <n v="1000"/>
    <s v="3/8 inch"/>
    <d v="2026-09-09T00:00:00"/>
    <x v="1"/>
    <d v="2025-09-09T00:00:00"/>
    <m/>
    <m/>
    <m/>
    <s v="TOOL ROOM"/>
    <s v="PWB"/>
    <s v="BRC - SC - 01 - 15"/>
  </r>
  <r>
    <s v="BRC-SC-05"/>
    <s v="SHACKLE"/>
    <n v="2000"/>
    <s v="1/2 inch"/>
    <d v="2026-09-09T00:00:00"/>
    <x v="1"/>
    <d v="2025-09-09T00:00:00"/>
    <m/>
    <m/>
    <m/>
    <s v="TOOL ROOM"/>
    <s v="TITAN"/>
    <s v="BRC - SC - 01 - 15"/>
  </r>
  <r>
    <s v="BRC-SC-06"/>
    <s v="SHACKLE"/>
    <n v="2000"/>
    <s v="1/2 inch"/>
    <d v="2026-09-09T00:00:00"/>
    <x v="1"/>
    <d v="2025-09-09T00:00:00"/>
    <m/>
    <m/>
    <m/>
    <s v="TOOL ROOM"/>
    <s v="TITAN"/>
    <s v="BRC - SC - 01 - 15"/>
  </r>
  <r>
    <s v="BRC-SC-07"/>
    <s v="SHACKLE"/>
    <n v="2000"/>
    <s v="1/2 inch"/>
    <d v="2026-09-09T00:00:00"/>
    <x v="1"/>
    <d v="2025-09-09T00:00:00"/>
    <m/>
    <m/>
    <m/>
    <s v="TOOL ROOM"/>
    <s v="TITAN"/>
    <s v="BRC - SC - 01 - 15"/>
  </r>
  <r>
    <s v="BRC-SC-08"/>
    <s v="SHACKLE"/>
    <n v="2000"/>
    <s v="1/2 inch"/>
    <d v="2026-09-09T00:00:00"/>
    <x v="1"/>
    <d v="2025-09-09T00:00:00"/>
    <m/>
    <m/>
    <m/>
    <s v="TOOL ROOM"/>
    <s v="TITAN"/>
    <s v="BRC - SC - 01 - 15"/>
  </r>
  <r>
    <s v="BRC-SC-09"/>
    <s v="SHACKLE"/>
    <n v="3250"/>
    <s v="5/8 inch"/>
    <d v="2026-09-09T00:00:00"/>
    <x v="1"/>
    <d v="2025-09-09T00:00:00"/>
    <m/>
    <m/>
    <m/>
    <s v="TOOL ROOM"/>
    <s v="TITAN"/>
    <s v="BRC - SC - 01 - 15"/>
  </r>
  <r>
    <s v="BRC-SC-10"/>
    <s v="SHACKLE"/>
    <n v="3250"/>
    <s v="5/8 inch"/>
    <d v="2026-09-09T00:00:00"/>
    <x v="1"/>
    <d v="2025-09-09T00:00:00"/>
    <m/>
    <m/>
    <m/>
    <s v="TOOL ROOM"/>
    <s v="TITAN"/>
    <s v="BRC - SC - 01 - 15"/>
  </r>
  <r>
    <s v="BRC-SC-11"/>
    <s v="SHACKLE"/>
    <n v="3250"/>
    <s v="5/8 inch"/>
    <d v="2026-09-09T00:00:00"/>
    <x v="1"/>
    <d v="2025-09-09T00:00:00"/>
    <m/>
    <m/>
    <m/>
    <s v="TOOL ROOM"/>
    <s v="TITAN"/>
    <s v="BRC - SC - 01 - 15"/>
  </r>
  <r>
    <s v="BRC-SC-12"/>
    <s v="SHACKLE"/>
    <n v="4750"/>
    <s v="3/4 inch"/>
    <d v="2026-09-09T00:00:00"/>
    <x v="1"/>
    <d v="2025-09-09T00:00:00"/>
    <m/>
    <m/>
    <m/>
    <s v="TOOL ROOM"/>
    <s v="TITAN"/>
    <s v="BRC - SC - 01 - 15"/>
  </r>
  <r>
    <s v="BRC-SC-13"/>
    <s v="SHACKLE"/>
    <n v="4750"/>
    <s v="3/4 inch"/>
    <d v="2026-09-09T00:00:00"/>
    <x v="1"/>
    <d v="2025-09-09T00:00:00"/>
    <m/>
    <m/>
    <m/>
    <s v="TOOL ROOM"/>
    <s v="TITAN"/>
    <s v="BRC - SC - 01 - 15"/>
  </r>
  <r>
    <s v="BRC-SC-14"/>
    <s v="SHACKLE"/>
    <n v="8500"/>
    <s v="1 inch"/>
    <d v="2026-09-09T00:00:00"/>
    <x v="1"/>
    <d v="2025-09-09T00:00:00"/>
    <m/>
    <m/>
    <m/>
    <s v="TOOL ROOM"/>
    <s v="TITAN"/>
    <s v="BRC - SC - 01 - 15"/>
  </r>
  <r>
    <s v="BRC-SC-15"/>
    <s v="SHACKLE"/>
    <n v="8500"/>
    <s v="1 inch"/>
    <d v="2026-09-09T00:00:00"/>
    <x v="1"/>
    <d v="2025-09-09T00:00:00"/>
    <m/>
    <m/>
    <m/>
    <s v="TOOL ROOM"/>
    <s v="TITAN"/>
    <s v="BRC - SC - 01 - 15"/>
  </r>
  <r>
    <s v="BRC-SP-01"/>
    <s v="SWIPEL"/>
    <n v="1500"/>
    <s v="16 mm"/>
    <d v="2026-09-09T00:00:00"/>
    <x v="1"/>
    <d v="2025-09-09T00:00:00"/>
    <m/>
    <m/>
    <m/>
    <s v="TOOL ROOM"/>
    <s v="YOKE"/>
    <s v="BRC - SP - 01 - 09"/>
  </r>
  <r>
    <s v="BRC-SP-02"/>
    <s v="SWIPEL"/>
    <n v="1500"/>
    <s v="16 mm"/>
    <d v="2026-09-09T00:00:00"/>
    <x v="1"/>
    <d v="2025-09-09T00:00:00"/>
    <m/>
    <m/>
    <m/>
    <s v="TOOL ROOM"/>
    <s v="YOKE"/>
    <s v="BRC - SP - 01 - 09"/>
  </r>
  <r>
    <s v="BRC-SP-03"/>
    <s v="SWIPEL"/>
    <n v="1500"/>
    <s v="16 mm"/>
    <d v="2026-09-09T00:00:00"/>
    <x v="1"/>
    <d v="2025-09-09T00:00:00"/>
    <m/>
    <m/>
    <m/>
    <s v="TOOL ROOM"/>
    <s v="YOKE"/>
    <s v="BRC - SP - 01 - 09"/>
  </r>
  <r>
    <s v="BRC-SP-04"/>
    <s v="SWIPEL"/>
    <n v="2500"/>
    <s v="20 mm"/>
    <d v="2026-09-09T00:00:00"/>
    <x v="1"/>
    <d v="2025-09-09T00:00:00"/>
    <m/>
    <m/>
    <m/>
    <s v="TOOL ROOM"/>
    <s v="YOKE"/>
    <s v="BRC - SP - 01 - 09"/>
  </r>
  <r>
    <s v="BRC-SP-05"/>
    <s v="SWIPEL"/>
    <n v="2500"/>
    <s v="20 mm"/>
    <d v="2026-09-09T00:00:00"/>
    <x v="1"/>
    <d v="2025-09-09T00:00:00"/>
    <m/>
    <m/>
    <m/>
    <s v="TOOL ROOM"/>
    <s v="YOKE"/>
    <s v="BRC - SP - 01 - 09"/>
  </r>
  <r>
    <s v="BRC-SP-06"/>
    <s v="SWIPEL"/>
    <n v="2500"/>
    <s v="20 mm"/>
    <d v="2026-09-09T00:00:00"/>
    <x v="1"/>
    <d v="2025-09-09T00:00:00"/>
    <m/>
    <m/>
    <m/>
    <s v="TOOL ROOM"/>
    <s v="YOKE"/>
    <s v="BRC - SP - 01 - 09"/>
  </r>
  <r>
    <s v="BRC-SP-07"/>
    <s v="SWIPEL"/>
    <n v="4000"/>
    <s v="24 mm"/>
    <d v="2026-09-09T00:00:00"/>
    <x v="1"/>
    <d v="2025-09-09T00:00:00"/>
    <m/>
    <m/>
    <m/>
    <s v="TOOL ROOM"/>
    <s v="YOKE"/>
    <s v="BRC - SP - 01 - 09"/>
  </r>
  <r>
    <s v="BRC-SP-08"/>
    <s v="SWIPEL"/>
    <n v="4000"/>
    <s v="24 mm"/>
    <d v="2026-09-09T00:00:00"/>
    <x v="1"/>
    <d v="2025-09-09T00:00:00"/>
    <m/>
    <m/>
    <m/>
    <s v="TOOL ROOM"/>
    <s v="YOKE"/>
    <s v="BRC - SP - 01 - 09"/>
  </r>
  <r>
    <s v="BRC-SP-09"/>
    <s v="SWIPEL"/>
    <n v="4000"/>
    <s v="24 mm"/>
    <d v="2026-09-09T00:00:00"/>
    <x v="1"/>
    <d v="2025-09-09T00:00:00"/>
    <m/>
    <m/>
    <m/>
    <s v="TOOL ROOM"/>
    <s v="YOKE"/>
    <s v="BRC - SP - 01 - 09"/>
  </r>
  <r>
    <s v="FLKM18001"/>
    <s v="FORKLIFT ELECTRIC KOMATSU FB18_001"/>
    <n v="1800"/>
    <m/>
    <d v="2026-09-09T00:00:00"/>
    <x v="1"/>
    <d v="2025-09-10T00:00:00"/>
    <m/>
    <n v="1010280232"/>
    <n v="4010359799"/>
    <s v="BRC"/>
    <s v="KOMATSU"/>
    <m/>
  </r>
  <r>
    <s v="BRC-SRL-002"/>
    <s v="SCISSOR LIFT"/>
    <n v="6000"/>
    <m/>
    <d v="2026-09-09T00:00:00"/>
    <x v="1"/>
    <d v="2025-09-09T00:00:00"/>
    <m/>
    <m/>
    <m/>
    <m/>
    <m/>
    <m/>
  </r>
  <r>
    <s v="BRC-JB-01"/>
    <s v="JACK BOTTLE "/>
    <n v="12000"/>
    <m/>
    <d v="2026-09-09T00:00:00"/>
    <x v="1"/>
    <d v="2025-09-09T00:00:00"/>
    <m/>
    <m/>
    <m/>
    <m/>
    <m/>
    <m/>
  </r>
  <r>
    <s v="BRC-SE-01"/>
    <s v="STAND ENGINE "/>
    <n v="8000"/>
    <m/>
    <d v="2026-09-09T00:00:00"/>
    <x v="1"/>
    <d v="2025-09-09T00:00:00"/>
    <m/>
    <m/>
    <m/>
    <m/>
    <m/>
    <m/>
  </r>
  <r>
    <s v="BRC-SE-02"/>
    <s v="STAND ENGINE "/>
    <n v="8000"/>
    <m/>
    <d v="2026-09-09T00:00:00"/>
    <x v="1"/>
    <d v="2025-09-09T00:00:00"/>
    <m/>
    <m/>
    <m/>
    <m/>
    <m/>
    <m/>
  </r>
  <r>
    <s v="BRC-SE-03"/>
    <s v="STAND ENGINE "/>
    <n v="8000"/>
    <m/>
    <d v="2026-09-09T00:00:00"/>
    <x v="1"/>
    <d v="2025-09-09T00:00:00"/>
    <m/>
    <m/>
    <m/>
    <m/>
    <m/>
    <m/>
  </r>
  <r>
    <s v="BRC-SE-04"/>
    <s v="STAND ENGINE "/>
    <n v="8000"/>
    <m/>
    <d v="2026-09-09T00:00:00"/>
    <x v="1"/>
    <d v="2025-09-09T00:00:00"/>
    <m/>
    <m/>
    <m/>
    <m/>
    <m/>
    <m/>
  </r>
  <r>
    <s v="BRC-HJ-01"/>
    <s v="HYDRAULIC JACK"/>
    <n v="100000"/>
    <m/>
    <d v="2026-09-09T00:00:00"/>
    <x v="1"/>
    <d v="2025-09-09T00:00:00"/>
    <m/>
    <m/>
    <m/>
    <m/>
    <s v="EKATAMA"/>
    <m/>
  </r>
  <r>
    <s v="BM-CS-7702"/>
    <s v="CHAIN SLING"/>
    <n v="2600"/>
    <m/>
    <d v="2026-10-03T00:00:00"/>
    <x v="1"/>
    <d v="2025-10-03T00:00:00"/>
    <d v="2026-09-19T00:00:00"/>
    <m/>
    <n v="4010363923"/>
    <m/>
    <m/>
    <m/>
  </r>
  <r>
    <s v="BM-CS-7707"/>
    <s v="CHAIN SLING"/>
    <n v="5500"/>
    <m/>
    <d v="2026-10-03T00:00:00"/>
    <x v="1"/>
    <d v="2025-10-03T00:00:00"/>
    <d v="2026-09-19T00:00:00"/>
    <m/>
    <n v="4010363923"/>
    <m/>
    <m/>
    <m/>
  </r>
  <r>
    <s v="BM-CS-7706"/>
    <s v="CHAIN SLING"/>
    <n v="2600"/>
    <m/>
    <d v="2026-10-03T00:00:00"/>
    <x v="1"/>
    <d v="2025-10-03T00:00:00"/>
    <d v="2026-09-19T00:00:00"/>
    <m/>
    <n v="4010363923"/>
    <m/>
    <m/>
    <m/>
  </r>
  <r>
    <s v="BM-CS-7705"/>
    <s v="CHAIN SLING"/>
    <n v="5500"/>
    <m/>
    <d v="2026-10-03T00:00:00"/>
    <x v="1"/>
    <d v="2025-10-03T00:00:00"/>
    <d v="2026-09-19T00:00:00"/>
    <m/>
    <n v="4010363923"/>
    <m/>
    <m/>
    <m/>
  </r>
  <r>
    <s v="BM-CS-7704"/>
    <s v="CHAIN SLING"/>
    <n v="5500"/>
    <m/>
    <d v="2026-10-03T00:00:00"/>
    <x v="1"/>
    <d v="2025-10-03T00:00:00"/>
    <d v="2026-09-19T00:00:00"/>
    <m/>
    <n v="4010363923"/>
    <m/>
    <m/>
    <m/>
  </r>
  <r>
    <s v="BM-CS-7703"/>
    <s v="CHAIN SLING"/>
    <n v="5500"/>
    <m/>
    <d v="2026-10-03T00:00:00"/>
    <x v="1"/>
    <d v="2025-10-03T00:00:00"/>
    <d v="2026-09-19T00:00:00"/>
    <m/>
    <n v="4010363923"/>
    <m/>
    <m/>
    <m/>
  </r>
  <r>
    <s v="BM-CS-7700"/>
    <s v="CHAIN SLING"/>
    <n v="13000"/>
    <m/>
    <d v="2026-10-03T00:00:00"/>
    <x v="1"/>
    <d v="2025-10-03T00:00:00"/>
    <d v="2026-09-19T00:00:00"/>
    <m/>
    <n v="4010363923"/>
    <m/>
    <m/>
    <m/>
  </r>
  <r>
    <s v="ACSN001"/>
    <s v="AIR COMPRESSOR PORTABLE"/>
    <s v="8 Kg / cm 2 ( 113 Psig )"/>
    <m/>
    <d v="2026-10-03T00:00:00"/>
    <x v="1"/>
    <d v="2025-10-03T00:00:00"/>
    <d v="2026-09-19T00:00:00"/>
    <m/>
    <n v="4010363923"/>
    <s v="PAINTING"/>
    <s v="SWAN"/>
    <m/>
  </r>
  <r>
    <s v="BRC-TJRO-01"/>
    <s v="TOOL JACK &amp; ROLL OVER STAND ENGINE"/>
    <n v="9072"/>
    <m/>
    <d v="2026-10-03T00:00:00"/>
    <x v="1"/>
    <d v="2025-10-03T00:00:00"/>
    <m/>
    <m/>
    <n v="4010363923"/>
    <s v="DISASSEMBLY"/>
    <m/>
    <m/>
  </r>
  <r>
    <s v="BRC-JP-04"/>
    <s v="JACK PRESS"/>
    <n v="150000"/>
    <m/>
    <d v="2026-10-03T00:00:00"/>
    <x v="1"/>
    <d v="2025-10-03T00:00:00"/>
    <m/>
    <m/>
    <n v="4010363923"/>
    <s v="DISASSEMBLY"/>
    <s v="ENERPAC"/>
    <m/>
  </r>
  <r>
    <s v="FT-3000L"/>
    <s v="Fuel Tank  "/>
    <m/>
    <s v="3000 L"/>
    <d v="2026-10-22T00:00:00"/>
    <x v="1"/>
    <d v="2025-10-22T00:00:00"/>
    <m/>
    <m/>
    <m/>
    <m/>
    <m/>
    <m/>
  </r>
  <r>
    <s v="FT-1000L"/>
    <s v="Fuel Skid 1000 L"/>
    <m/>
    <s v="1000 L"/>
    <d v="2026-10-22T00:00:00"/>
    <x v="1"/>
    <d v="2025-10-22T00:00:00"/>
    <m/>
    <m/>
    <m/>
    <s v="TEST BENCH ENGINE"/>
    <m/>
    <m/>
  </r>
  <r>
    <s v="BRC-ST-86"/>
    <s v="STAND JACK"/>
    <n v="30000"/>
    <m/>
    <d v="2026-11-11T00:00:00"/>
    <x v="1"/>
    <d v="2025-11-11T00:00:00"/>
    <m/>
    <m/>
    <m/>
    <s v="ERRC"/>
    <m/>
    <m/>
  </r>
  <r>
    <s v="BRC-ST-19"/>
    <s v="STAND JACK"/>
    <m/>
    <m/>
    <d v="2026-11-11T00:00:00"/>
    <x v="1"/>
    <d v="2025-11-11T00:00:00"/>
    <m/>
    <m/>
    <m/>
    <s v="ERRC"/>
    <m/>
    <m/>
  </r>
  <r>
    <s v="BRC-ST-20"/>
    <s v="STAND JACK"/>
    <m/>
    <m/>
    <d v="2026-11-11T00:00:00"/>
    <x v="1"/>
    <d v="2025-11-11T00:00:00"/>
    <m/>
    <m/>
    <m/>
    <s v="ERRC"/>
    <m/>
    <m/>
  </r>
  <r>
    <s v="BRC-ST-21"/>
    <s v="STAND JACK"/>
    <m/>
    <m/>
    <d v="2026-11-11T00:00:00"/>
    <x v="1"/>
    <d v="2025-11-11T00:00:00"/>
    <m/>
    <m/>
    <m/>
    <s v="ERRC"/>
    <m/>
    <m/>
  </r>
  <r>
    <s v="BRC-ST-22"/>
    <s v="STAND JACK"/>
    <m/>
    <m/>
    <d v="2026-11-11T00:00:00"/>
    <x v="1"/>
    <d v="2025-11-11T00:00:00"/>
    <m/>
    <m/>
    <m/>
    <s v="ERRC"/>
    <m/>
    <m/>
  </r>
  <r>
    <s v="BRC-ST-23"/>
    <s v="STAND JACK"/>
    <m/>
    <m/>
    <d v="2026-11-11T00:00:00"/>
    <x v="1"/>
    <d v="2025-11-11T00:00:00"/>
    <m/>
    <m/>
    <m/>
    <s v="ERRC"/>
    <m/>
    <m/>
  </r>
  <r>
    <s v="BRC-ST-24"/>
    <s v="STAND JACK"/>
    <m/>
    <m/>
    <d v="2026-11-11T00:00:00"/>
    <x v="1"/>
    <d v="2025-11-11T00:00:00"/>
    <m/>
    <m/>
    <m/>
    <s v="ERRC"/>
    <m/>
    <m/>
  </r>
  <r>
    <s v="BRC-ST-25"/>
    <s v="STAND JACK"/>
    <m/>
    <m/>
    <d v="2026-11-11T00:00:00"/>
    <x v="1"/>
    <d v="2025-11-11T00:00:00"/>
    <m/>
    <m/>
    <m/>
    <s v="ERRC"/>
    <m/>
    <m/>
  </r>
  <r>
    <s v="BRC-ST-26"/>
    <s v="STAND JACK"/>
    <m/>
    <m/>
    <d v="2026-11-11T00:00:00"/>
    <x v="1"/>
    <d v="2025-11-11T00:00:00"/>
    <m/>
    <m/>
    <m/>
    <s v="ERRC"/>
    <m/>
    <m/>
  </r>
  <r>
    <s v="BRC-ST-27"/>
    <s v="STAND JACK"/>
    <m/>
    <m/>
    <d v="2026-11-11T00:00:00"/>
    <x v="1"/>
    <d v="2025-11-11T00:00:00"/>
    <m/>
    <m/>
    <m/>
    <s v="ERRC"/>
    <m/>
    <m/>
  </r>
  <r>
    <s v="BRC-ST-28"/>
    <s v="STAND JACK"/>
    <m/>
    <m/>
    <d v="2026-11-11T00:00:00"/>
    <x v="1"/>
    <d v="2025-11-11T00:00:00"/>
    <m/>
    <m/>
    <m/>
    <s v="ERRC"/>
    <m/>
    <m/>
  </r>
  <r>
    <s v="BRC-ST-29"/>
    <s v="STAND JACK"/>
    <m/>
    <m/>
    <d v="2026-11-11T00:00:00"/>
    <x v="1"/>
    <d v="2025-11-11T00:00:00"/>
    <m/>
    <m/>
    <m/>
    <s v="ERRC"/>
    <m/>
    <m/>
  </r>
  <r>
    <s v="BRC-ST-30"/>
    <s v="STAND JACK"/>
    <m/>
    <m/>
    <d v="2026-11-11T00:00:00"/>
    <x v="1"/>
    <d v="2025-11-11T00:00:00"/>
    <m/>
    <m/>
    <m/>
    <s v="ERRC"/>
    <m/>
    <m/>
  </r>
  <r>
    <s v="BRC-ST-31"/>
    <s v="STAND JACK"/>
    <m/>
    <m/>
    <d v="2026-11-11T00:00:00"/>
    <x v="1"/>
    <d v="2025-11-11T00:00:00"/>
    <m/>
    <m/>
    <m/>
    <s v="ERRC"/>
    <m/>
    <m/>
  </r>
  <r>
    <s v="BRC-ST-32"/>
    <s v="STAND JACK"/>
    <m/>
    <m/>
    <d v="2026-11-11T00:00:00"/>
    <x v="1"/>
    <d v="2025-11-11T00:00:00"/>
    <m/>
    <m/>
    <m/>
    <s v="ERRC"/>
    <m/>
    <m/>
  </r>
  <r>
    <s v="BRC-ST-33"/>
    <s v="STAND JACK"/>
    <m/>
    <m/>
    <d v="2026-11-11T00:00:00"/>
    <x v="1"/>
    <d v="2025-11-11T00:00:00"/>
    <m/>
    <m/>
    <m/>
    <s v="ERRC"/>
    <m/>
    <m/>
  </r>
  <r>
    <s v="BRC-ST-34"/>
    <s v="STAND JACK"/>
    <m/>
    <m/>
    <d v="2026-11-11T00:00:00"/>
    <x v="1"/>
    <d v="2025-11-11T00:00:00"/>
    <m/>
    <m/>
    <m/>
    <s v="ERRC"/>
    <m/>
    <m/>
  </r>
  <r>
    <s v="BRC-ST-35"/>
    <s v="STAND JACK"/>
    <m/>
    <m/>
    <d v="2026-11-11T00:00:00"/>
    <x v="1"/>
    <d v="2025-11-11T00:00:00"/>
    <m/>
    <m/>
    <m/>
    <s v="ERRC"/>
    <m/>
    <m/>
  </r>
  <r>
    <s v="BRC-ST-36"/>
    <s v="STAND JACK"/>
    <m/>
    <m/>
    <d v="2026-11-11T00:00:00"/>
    <x v="1"/>
    <d v="2025-11-11T00:00:00"/>
    <m/>
    <m/>
    <m/>
    <s v="ERRC"/>
    <m/>
    <m/>
  </r>
  <r>
    <s v="BRC-ST-37"/>
    <s v="STAND JACK"/>
    <m/>
    <m/>
    <d v="2026-11-11T00:00:00"/>
    <x v="1"/>
    <d v="2025-11-11T00:00:00"/>
    <m/>
    <m/>
    <m/>
    <s v="ERRC"/>
    <m/>
    <m/>
  </r>
  <r>
    <s v="BRC-ST-38"/>
    <s v="STAND JACK"/>
    <m/>
    <m/>
    <d v="2026-11-11T00:00:00"/>
    <x v="1"/>
    <d v="2025-11-11T00:00:00"/>
    <m/>
    <m/>
    <m/>
    <s v="ERRC"/>
    <m/>
    <m/>
  </r>
  <r>
    <s v="BRC-ST-39"/>
    <s v="STAND JACK"/>
    <m/>
    <m/>
    <d v="2026-11-11T00:00:00"/>
    <x v="1"/>
    <d v="2025-11-11T00:00:00"/>
    <m/>
    <m/>
    <m/>
    <s v="ERRC"/>
    <m/>
    <m/>
  </r>
  <r>
    <s v="BRC-ST-40"/>
    <s v="STAND JACK"/>
    <m/>
    <m/>
    <d v="2026-11-11T00:00:00"/>
    <x v="1"/>
    <d v="2025-11-11T00:00:00"/>
    <m/>
    <m/>
    <m/>
    <s v="ERRC"/>
    <m/>
    <m/>
  </r>
  <r>
    <s v="BRC-ST-41"/>
    <s v="STAND JACK"/>
    <m/>
    <m/>
    <d v="2026-11-11T00:00:00"/>
    <x v="1"/>
    <d v="2025-11-11T00:00:00"/>
    <m/>
    <m/>
    <m/>
    <s v="ERRC"/>
    <m/>
    <m/>
  </r>
  <r>
    <s v="BRC-ST-42"/>
    <s v="STAND JACK"/>
    <m/>
    <m/>
    <d v="2026-11-11T00:00:00"/>
    <x v="1"/>
    <d v="2025-11-11T00:00:00"/>
    <m/>
    <m/>
    <m/>
    <s v="ERRC"/>
    <m/>
    <m/>
  </r>
  <r>
    <s v="BRC-ST-43"/>
    <s v="STAND JACK"/>
    <m/>
    <m/>
    <d v="2026-11-11T00:00:00"/>
    <x v="1"/>
    <d v="2025-11-11T00:00:00"/>
    <m/>
    <m/>
    <m/>
    <s v="ERRC"/>
    <m/>
    <m/>
  </r>
  <r>
    <s v="FLPT30028"/>
    <s v="FORKLIFT PATRIA PFD30C-1_028"/>
    <n v="2500"/>
    <m/>
    <d v="2026-11-18T00:00:00"/>
    <x v="1"/>
    <d v="2025-11-18T00:00:00"/>
    <m/>
    <n v="1010281132"/>
    <n v="4010359820"/>
    <s v="BRC"/>
    <s v="PATRIA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</r>
  <r>
    <x v="0"/>
  </r>
  <r>
    <x v="0"/>
  </r>
  <r>
    <x v="0"/>
  </r>
  <r>
    <x v="1"/>
  </r>
  <r>
    <x v="2"/>
  </r>
  <r>
    <x v="3"/>
  </r>
  <r>
    <x v="2"/>
  </r>
  <r>
    <x v="4"/>
  </r>
  <r>
    <x v="4"/>
  </r>
  <r>
    <x v="5"/>
  </r>
  <r>
    <x v="5"/>
  </r>
  <r>
    <x v="5"/>
  </r>
  <r>
    <x v="5"/>
  </r>
  <r>
    <x v="5"/>
  </r>
  <r>
    <x v="1"/>
  </r>
  <r>
    <x v="6"/>
  </r>
  <r>
    <x v="7"/>
  </r>
  <r>
    <x v="7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5"/>
  </r>
  <r>
    <x v="16"/>
  </r>
  <r>
    <x v="17"/>
  </r>
  <r>
    <x v="17"/>
  </r>
  <r>
    <x v="17"/>
  </r>
  <r>
    <x v="17"/>
  </r>
  <r>
    <x v="18"/>
  </r>
  <r>
    <x v="19"/>
  </r>
  <r>
    <x v="19"/>
  </r>
  <r>
    <x v="19"/>
  </r>
  <r>
    <x v="19"/>
  </r>
  <r>
    <x v="19"/>
  </r>
  <r>
    <x v="19"/>
  </r>
  <r>
    <x v="19"/>
  </r>
  <r>
    <x v="20"/>
  </r>
  <r>
    <x v="21"/>
  </r>
  <r>
    <x v="1"/>
  </r>
  <r>
    <x v="22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4"/>
  </r>
  <r>
    <x v="24"/>
  </r>
  <r>
    <x v="14"/>
  </r>
  <r>
    <x v="24"/>
  </r>
  <r>
    <x v="24"/>
  </r>
  <r>
    <x v="24"/>
  </r>
  <r>
    <x v="24"/>
  </r>
  <r>
    <x v="24"/>
  </r>
  <r>
    <x v="24"/>
  </r>
  <r>
    <x v="24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1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9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14"/>
  </r>
  <r>
    <x v="14"/>
  </r>
  <r>
    <x v="14"/>
  </r>
  <r>
    <x v="31"/>
  </r>
  <r>
    <x v="31"/>
  </r>
  <r>
    <x v="1"/>
  </r>
  <r>
    <x v="0"/>
  </r>
  <r>
    <x v="14"/>
  </r>
  <r>
    <x v="28"/>
  </r>
  <r>
    <x v="28"/>
  </r>
  <r>
    <x v="5"/>
  </r>
  <r>
    <x v="5"/>
  </r>
  <r>
    <x v="32"/>
  </r>
  <r>
    <x v="5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m/>
    <s v="BRC-JP-02"/>
    <s v="JACK PRESS"/>
    <n v="100"/>
    <s v="Assembly"/>
    <d v="2026-09-28T00:00:00"/>
    <m/>
    <d v="2027-09-28T00:00:00"/>
    <s v="PT AREXAS"/>
    <n v="2"/>
    <n v="363"/>
    <s v="Done Inspect"/>
    <x v="0"/>
    <s v="GOOD"/>
    <m/>
    <m/>
    <n v="4010394682"/>
  </r>
  <r>
    <m/>
    <s v="BM-CS-7702"/>
    <s v="CHAIN SLING"/>
    <n v="2.6"/>
    <s v="0"/>
    <d v="2026-09-28T00:00:00"/>
    <s v="5511/CI/AI/XI/25/MCL"/>
    <d v="2027-09-28T00:00:00"/>
    <s v="PT AREXAS"/>
    <n v="2"/>
    <n v="363"/>
    <s v="Done Inspect"/>
    <x v="0"/>
    <s v="GOOD"/>
    <m/>
    <m/>
    <n v="4010394682"/>
  </r>
  <r>
    <m/>
    <s v="BM-CS-7707"/>
    <s v="CHAIN SLING"/>
    <n v="5.5"/>
    <s v="0"/>
    <d v="2026-09-28T00:00:00"/>
    <s v="5507/CI/AI/XI/25/MCL"/>
    <d v="2027-09-28T00:00:00"/>
    <s v="PT AREXAS"/>
    <n v="2"/>
    <n v="363"/>
    <s v="Done Inspect"/>
    <x v="0"/>
    <s v="GOOD"/>
    <m/>
    <m/>
    <n v="4010394682"/>
  </r>
  <r>
    <m/>
    <s v="BM-CS-7706"/>
    <s v="CHAIN SLING"/>
    <n v="2.6"/>
    <s v="0"/>
    <d v="2026-09-28T00:00:00"/>
    <s v="5514/CI/AI/XI/25/MCL"/>
    <d v="2027-09-28T00:00:00"/>
    <s v="PT AREXAS"/>
    <n v="2"/>
    <n v="363"/>
    <s v="Done Inspect"/>
    <x v="0"/>
    <s v="GOOD"/>
    <m/>
    <m/>
    <n v="4010394682"/>
  </r>
  <r>
    <m/>
    <s v="BM-CS-7705"/>
    <s v="CHAIN SLING"/>
    <n v="5.5"/>
    <s v="0"/>
    <d v="2026-09-28T00:00:00"/>
    <s v="5510/CI/AI/XI/25/MCL"/>
    <d v="2027-09-28T00:00:00"/>
    <s v="PT AREXAS"/>
    <n v="2"/>
    <n v="363"/>
    <s v="Done Inspect"/>
    <x v="0"/>
    <s v="GOOD"/>
    <m/>
    <m/>
    <n v="4010394682"/>
  </r>
  <r>
    <m/>
    <s v="BM-CS-7704"/>
    <s v="CHAIN SLING"/>
    <n v="5.5"/>
    <s v="0"/>
    <d v="2026-09-28T00:00:00"/>
    <s v="5512/CI/AI/XI/25/MCL"/>
    <d v="2027-09-28T00:00:00"/>
    <s v="PT AREXAS"/>
    <n v="2"/>
    <n v="363"/>
    <s v="Done Inspect"/>
    <x v="0"/>
    <s v="GOOD"/>
    <m/>
    <m/>
    <n v="4010394682"/>
  </r>
  <r>
    <m/>
    <s v="BM-CS-7703"/>
    <s v="CHAIN SLING"/>
    <n v="5.5"/>
    <s v="0"/>
    <d v="2026-09-28T00:00:00"/>
    <s v="5513/CI/AI/XI/25/MCL"/>
    <d v="2027-09-28T00:00:00"/>
    <s v="PT AREXAS"/>
    <n v="2"/>
    <n v="363"/>
    <s v="Done Inspect"/>
    <x v="0"/>
    <s v="GOOD"/>
    <m/>
    <m/>
    <n v="4010394682"/>
  </r>
  <r>
    <m/>
    <s v="BM-CS-7700"/>
    <s v="CHAIN SLING"/>
    <n v="13"/>
    <s v="0"/>
    <d v="2026-09-28T00:00:00"/>
    <m/>
    <d v="2027-09-28T00:00:00"/>
    <s v="PT AREXAS"/>
    <n v="2"/>
    <n v="363"/>
    <s v="Done Inspect"/>
    <x v="0"/>
    <s v="GOOD"/>
    <m/>
    <m/>
    <n v="4010394682"/>
  </r>
  <r>
    <m/>
    <s v="ACSN001"/>
    <s v="AIR COMPRESSOR PORTABLE"/>
    <m/>
    <s v="Painting"/>
    <d v="2026-09-28T00:00:00"/>
    <s v="4202/CI/AI/X/25/SID"/>
    <d v="2027-09-28T00:00:00"/>
    <s v="PT AREXAS"/>
    <n v="2"/>
    <n v="363"/>
    <s v="Done Inspect"/>
    <x v="0"/>
    <s v="GOOD"/>
    <m/>
    <m/>
    <n v="4010394682"/>
  </r>
  <r>
    <m/>
    <s v="BRC-TJRO-01"/>
    <s v="TOOL JACK &amp; ROLL OVER STAND ENGINE"/>
    <n v="9"/>
    <s v="Disassembly"/>
    <d v="2026-09-28T00:00:00"/>
    <m/>
    <d v="2027-09-28T00:00:00"/>
    <s v="PT AREXAS"/>
    <n v="2"/>
    <n v="363"/>
    <s v="Done Inspect"/>
    <x v="0"/>
    <s v="GOOD"/>
    <m/>
    <m/>
    <n v="4010394682"/>
  </r>
  <r>
    <m/>
    <s v="BRC-JP-04"/>
    <s v="JACK PRESS"/>
    <n v="150"/>
    <s v="Disassembly"/>
    <d v="2026-09-28T00:00:00"/>
    <m/>
    <d v="2027-09-28T00:00:00"/>
    <s v="PT AREXAS"/>
    <n v="2"/>
    <n v="363"/>
    <s v="Done Inspect"/>
    <x v="0"/>
    <s v="GOOD"/>
    <m/>
    <m/>
    <n v="4010394682"/>
  </r>
  <r>
    <m/>
    <s v="FT-3000L"/>
    <s v="Fuel Tank  "/>
    <m/>
    <s v="0"/>
    <d v="2026-09-28T00:00:00"/>
    <s v="4471/CI/AI/X/25/WST"/>
    <d v="2027-09-28T00:00:00"/>
    <s v="PT AREXAS"/>
    <n v="2"/>
    <n v="363"/>
    <s v="Done Inspect"/>
    <x v="0"/>
    <s v="GOOD"/>
    <m/>
    <m/>
    <n v="4010394682"/>
  </r>
  <r>
    <m/>
    <s v="FT-1000L"/>
    <s v="Fuel Skid 1000 L"/>
    <m/>
    <s v="Test Bench Engine"/>
    <d v="2026-09-28T00:00:00"/>
    <s v="4472/CI/AI/X/25/WST"/>
    <d v="2027-09-28T00:00:00"/>
    <s v="PT AREXAS"/>
    <n v="2"/>
    <n v="363"/>
    <s v="Done Inspect"/>
    <x v="0"/>
    <s v="GOOD"/>
    <m/>
    <m/>
    <n v="4010394682"/>
  </r>
  <r>
    <m/>
    <s v="BRC-ST-019"/>
    <s v="STAND JACK"/>
    <n v="2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020"/>
    <s v="STAND JACK"/>
    <n v="2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021"/>
    <s v="STAND JACK"/>
    <n v="2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023"/>
    <s v="STAND JACK"/>
    <n v="2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024"/>
    <s v="STAND JACK"/>
    <n v="25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025"/>
    <s v="STAND JACK"/>
    <n v="25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027"/>
    <s v="STAND JACK"/>
    <n v="4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028"/>
    <s v="STAND JACK"/>
    <n v="25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030"/>
    <s v="STAND JACK"/>
    <n v="25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031"/>
    <s v="STAND JACK"/>
    <n v="2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032"/>
    <s v="STAND JACK"/>
    <n v="2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34"/>
    <s v="STAND JACK"/>
    <n v="2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35"/>
    <s v="STAND JACK"/>
    <n v="3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36"/>
    <s v="STAND JACK"/>
    <n v="3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37"/>
    <s v="STAND JACK"/>
    <n v="5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38"/>
    <s v="STAND JACK"/>
    <n v="2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39"/>
    <s v="STAND JACK"/>
    <n v="2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41"/>
    <s v="STAND JACK"/>
    <n v="2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43"/>
    <s v="STAND JACK"/>
    <n v="6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44"/>
    <s v="STAND JACK"/>
    <n v="20"/>
    <s v="Interport"/>
    <d v="2025-11-13T00:00:00"/>
    <m/>
    <d v="2026-11-11T00:00:00"/>
    <s v="PT AREXAS"/>
    <n v="321"/>
    <n v="42"/>
    <s v="Expired in &lt;2 Months"/>
    <x v="1"/>
    <m/>
    <m/>
    <m/>
    <m/>
  </r>
  <r>
    <m/>
    <s v="BRC-ST-008"/>
    <s v="STAND JACK"/>
    <n v="60"/>
    <s v="Interport"/>
    <d v="2025-11-13T00:00:00"/>
    <m/>
    <d v="2026-11-13T00:00:00"/>
    <s v="PT AREXAS"/>
    <n v="321"/>
    <n v="44"/>
    <s v="Expired in &lt;2 Months"/>
    <x v="1"/>
    <m/>
    <m/>
    <m/>
    <m/>
  </r>
  <r>
    <m/>
    <s v="ACAT37001"/>
    <s v="AIR COMPRESSOR"/>
    <m/>
    <s v="BRC"/>
    <d v="2025-11-13T00:00:00"/>
    <s v="5015/CI/AI/XI/25/SID"/>
    <d v="2026-11-13T00:00:00"/>
    <s v="PT AREXAS"/>
    <n v="321"/>
    <n v="44"/>
    <s v="Expired in &lt;2 Months"/>
    <x v="1"/>
    <m/>
    <m/>
    <m/>
    <m/>
  </r>
  <r>
    <m/>
    <s v="BRC-ST-015"/>
    <s v="STAND JACK"/>
    <n v="20"/>
    <s v="Interport"/>
    <d v="2025-11-13T00:00:00"/>
    <m/>
    <d v="2026-11-13T00:00:00"/>
    <s v="PT AREXAS"/>
    <n v="321"/>
    <n v="44"/>
    <s v="Expired in &lt;2 Months"/>
    <x v="1"/>
    <m/>
    <m/>
    <m/>
    <m/>
  </r>
  <r>
    <m/>
    <s v="BRC-ST-016"/>
    <s v="STAND JACK"/>
    <n v="50"/>
    <s v="Interport"/>
    <d v="2025-11-13T00:00:00"/>
    <m/>
    <d v="2026-11-13T00:00:00"/>
    <s v="PT AREXAS"/>
    <n v="321"/>
    <n v="44"/>
    <s v="Expired in &lt;2 Months"/>
    <x v="1"/>
    <m/>
    <m/>
    <m/>
    <m/>
  </r>
  <r>
    <m/>
    <s v="FLPT30028"/>
    <s v="FORKLIFT"/>
    <n v="2.5"/>
    <s v="Interport"/>
    <d v="2025-11-18T00:00:00"/>
    <m/>
    <d v="2026-11-18T00:00:00"/>
    <s v="PT AREXAS"/>
    <n v="316"/>
    <n v="49"/>
    <s v="Expired in &lt;2 Months"/>
    <x v="1"/>
    <m/>
    <m/>
    <m/>
    <m/>
  </r>
  <r>
    <m/>
    <s v="BRC-ST-01"/>
    <s v="STAND JACK"/>
    <n v="20"/>
    <s v="Interport"/>
    <d v="2025-11-25T00:00:00"/>
    <m/>
    <d v="2026-11-25T00:00:00"/>
    <s v="PT AREXAS"/>
    <n v="309"/>
    <n v="56"/>
    <s v="Expired in &lt;2 Months"/>
    <x v="1"/>
    <m/>
    <m/>
    <m/>
    <m/>
  </r>
  <r>
    <m/>
    <s v="BRC-ST-004"/>
    <s v="STAND JACK"/>
    <n v="20"/>
    <s v="Interport"/>
    <d v="2025-11-25T00:00:00"/>
    <m/>
    <d v="2026-11-25T00:00:00"/>
    <s v="PT AREXAS"/>
    <n v="309"/>
    <n v="56"/>
    <s v="Expired in &lt;2 Months"/>
    <x v="1"/>
    <m/>
    <m/>
    <m/>
    <m/>
  </r>
  <r>
    <m/>
    <s v="BRC-ST-005"/>
    <s v="STAND JACK"/>
    <n v="20"/>
    <s v="Interport"/>
    <d v="2025-11-25T00:00:00"/>
    <m/>
    <d v="2026-11-25T00:00:00"/>
    <s v="PT AREXAS"/>
    <n v="309"/>
    <n v="56"/>
    <s v="Expired in &lt;2 Months"/>
    <x v="1"/>
    <m/>
    <m/>
    <m/>
    <m/>
  </r>
  <r>
    <m/>
    <s v="BRC-ST-006"/>
    <s v="STAND JACK"/>
    <n v="20"/>
    <s v="Interport"/>
    <d v="2025-11-25T00:00:00"/>
    <m/>
    <d v="2026-11-25T00:00:00"/>
    <s v="PT AREXAS"/>
    <n v="309"/>
    <n v="56"/>
    <s v="Expired in &lt;2 Months"/>
    <x v="1"/>
    <m/>
    <m/>
    <m/>
    <m/>
  </r>
  <r>
    <m/>
    <s v="BRC-ST-007"/>
    <s v="STAND JACK"/>
    <n v="20"/>
    <s v="Interport"/>
    <d v="2025-11-25T00:00:00"/>
    <m/>
    <d v="2026-11-25T00:00:00"/>
    <s v="PT AREXAS"/>
    <n v="309"/>
    <n v="56"/>
    <s v="Expired in &lt;2 Months"/>
    <x v="1"/>
    <m/>
    <m/>
    <m/>
    <m/>
  </r>
  <r>
    <m/>
    <s v="BRC-ST-008"/>
    <s v="STAND JACK"/>
    <n v="20"/>
    <s v="Interport"/>
    <d v="2025-11-25T00:00:00"/>
    <m/>
    <d v="2026-11-25T00:00:00"/>
    <s v="PT AREXAS"/>
    <n v="309"/>
    <n v="56"/>
    <s v="Expired in &lt;2 Months"/>
    <x v="1"/>
    <m/>
    <m/>
    <m/>
    <m/>
  </r>
  <r>
    <m/>
    <s v="BRC-ST-010"/>
    <s v="STAND JACK"/>
    <n v="50"/>
    <s v="Interport"/>
    <d v="2025-11-25T00:00:00"/>
    <m/>
    <d v="2026-11-25T00:00:00"/>
    <s v="PT AREXAS"/>
    <n v="309"/>
    <n v="56"/>
    <s v="Expired in &lt;2 Months"/>
    <x v="1"/>
    <m/>
    <m/>
    <m/>
    <m/>
  </r>
  <r>
    <m/>
    <s v="BRC-STR-01"/>
    <s v="STAND TRANSMISSION"/>
    <n v="2.5"/>
    <s v="Assembly"/>
    <d v="2025-11-27T00:00:00"/>
    <m/>
    <d v="2026-12-03T00:00:00"/>
    <s v="PT AREXAS"/>
    <n v="307"/>
    <n v="64"/>
    <s v="Done Inspect"/>
    <x v="0"/>
    <m/>
    <m/>
    <m/>
    <m/>
  </r>
  <r>
    <m/>
    <s v="BRC-STR-02"/>
    <s v="STAND TRANSMISSION"/>
    <n v="2.5"/>
    <s v="Assembly"/>
    <d v="2025-11-27T00:00:00"/>
    <m/>
    <d v="2026-12-03T00:00:00"/>
    <s v="PT AREXAS"/>
    <n v="307"/>
    <n v="64"/>
    <s v="Done Inspect"/>
    <x v="0"/>
    <m/>
    <m/>
    <m/>
    <m/>
  </r>
  <r>
    <m/>
    <s v="BRC-STR-03"/>
    <s v="STAND TRANSMISSION"/>
    <n v="2.5"/>
    <s v="Assembly"/>
    <d v="2025-11-27T00:00:00"/>
    <m/>
    <d v="2026-12-03T00:00:00"/>
    <s v="PT AREXAS"/>
    <n v="307"/>
    <n v="64"/>
    <s v="Done Inspect"/>
    <x v="0"/>
    <m/>
    <m/>
    <m/>
    <m/>
  </r>
  <r>
    <m/>
    <s v="BRC-STR-04"/>
    <s v="STAND TRANSMISSION"/>
    <n v="2.5"/>
    <s v="Assembly"/>
    <d v="2025-11-27T00:00:00"/>
    <m/>
    <d v="2026-12-03T00:00:00"/>
    <s v="PT AREXAS"/>
    <n v="307"/>
    <n v="64"/>
    <s v="Done Inspect"/>
    <x v="0"/>
    <m/>
    <m/>
    <m/>
    <m/>
  </r>
  <r>
    <m/>
    <s v="BRC-STR-05"/>
    <s v="STAND TRANSMISSION"/>
    <n v="2.5"/>
    <s v="Assembly"/>
    <d v="2025-11-27T00:00:00"/>
    <m/>
    <d v="2026-12-03T00:00:00"/>
    <s v="PT AREXAS"/>
    <n v="307"/>
    <n v="64"/>
    <s v="Done Inspect"/>
    <x v="0"/>
    <m/>
    <m/>
    <m/>
    <m/>
  </r>
  <r>
    <m/>
    <s v="BRC-STR-06"/>
    <s v="STAND TRANSMISSION"/>
    <n v="2.5"/>
    <s v="Assembly"/>
    <d v="2025-11-27T00:00:00"/>
    <m/>
    <d v="2026-12-03T00:00:00"/>
    <s v="PT AREXAS"/>
    <n v="307"/>
    <n v="64"/>
    <s v="Done Inspect"/>
    <x v="0"/>
    <m/>
    <m/>
    <m/>
    <m/>
  </r>
  <r>
    <m/>
    <s v="BRC-STR-07"/>
    <s v="STAND TRANSMISSION"/>
    <n v="2.5"/>
    <s v="Assembly"/>
    <d v="2025-11-27T00:00:00"/>
    <m/>
    <d v="2026-12-03T00:00:00"/>
    <s v="PT AREXAS"/>
    <n v="307"/>
    <n v="64"/>
    <s v="Done Inspect"/>
    <x v="0"/>
    <m/>
    <m/>
    <m/>
    <m/>
  </r>
  <r>
    <m/>
    <s v="BRC-STR-08"/>
    <s v="STAND TRANSMISSION"/>
    <n v="2.5"/>
    <s v="Assembly"/>
    <d v="2025-11-27T00:00:00"/>
    <m/>
    <d v="2026-12-03T00:00:00"/>
    <s v="PT AREXAS"/>
    <n v="307"/>
    <n v="64"/>
    <s v="Done Inspect"/>
    <x v="0"/>
    <m/>
    <m/>
    <m/>
    <m/>
  </r>
  <r>
    <m/>
    <s v="BRC-STR-09"/>
    <s v="STAND TRANSMISSION"/>
    <n v="2.5"/>
    <s v="Assembly"/>
    <d v="2025-11-27T00:00:00"/>
    <m/>
    <d v="2026-12-03T00:00:00"/>
    <s v="PT AREXAS"/>
    <n v="307"/>
    <n v="64"/>
    <s v="Done Inspect"/>
    <x v="0"/>
    <m/>
    <m/>
    <m/>
    <m/>
  </r>
  <r>
    <m/>
    <s v="BRC-TW-01"/>
    <s v="TABLE WORK"/>
    <n v="0"/>
    <s v="Assembly"/>
    <d v="2025-11-27T00:00:00"/>
    <m/>
    <d v="2026-12-03T00:00:00"/>
    <s v="PT AREXAS"/>
    <n v="307"/>
    <n v="64"/>
    <s v="Done Inspect"/>
    <x v="0"/>
    <m/>
    <m/>
    <m/>
    <m/>
  </r>
  <r>
    <m/>
    <s v="BRC-TW-02"/>
    <s v="TABLE WORK"/>
    <n v="0"/>
    <s v="Assembly"/>
    <d v="2025-11-27T00:00:00"/>
    <m/>
    <d v="2026-12-03T00:00:00"/>
    <s v="PT AREXAS"/>
    <n v="307"/>
    <n v="64"/>
    <s v="Done Inspect"/>
    <x v="0"/>
    <m/>
    <m/>
    <m/>
    <m/>
  </r>
  <r>
    <m/>
    <s v="BRC-TW-03"/>
    <s v="TABLE WORK"/>
    <n v="0.5"/>
    <s v="Assembly"/>
    <d v="2025-11-27T00:00:00"/>
    <m/>
    <d v="2026-12-03T00:00:00"/>
    <s v="PT AREXAS"/>
    <n v="307"/>
    <n v="64"/>
    <s v="Done Inspect"/>
    <x v="0"/>
    <m/>
    <m/>
    <m/>
    <m/>
  </r>
  <r>
    <m/>
    <s v="BRC-TJRO-02"/>
    <s v="TOOL JACK &amp; ROLL OVER STAND ENGINE"/>
    <n v="9.0719999999999992"/>
    <s v="Disassembly"/>
    <d v="2025-11-27T00:00:00"/>
    <m/>
    <d v="2026-12-03T00:00:00"/>
    <s v="PT AREXAS"/>
    <n v="307"/>
    <n v="64"/>
    <s v="Done Inspect"/>
    <x v="0"/>
    <m/>
    <m/>
    <m/>
    <m/>
  </r>
  <r>
    <m/>
    <s v="BUMA-WIP-RRHD-01"/>
    <s v="RACK REPAIR HEAVY DUTY"/>
    <n v="2.5"/>
    <s v="WIP"/>
    <d v="2025-11-27T00:00:00"/>
    <m/>
    <d v="2026-12-04T00:00:00"/>
    <s v="PT AREXAS"/>
    <n v="307"/>
    <n v="65"/>
    <s v="Done Inspect"/>
    <x v="0"/>
    <m/>
    <m/>
    <m/>
    <m/>
  </r>
  <r>
    <m/>
    <s v="BUMA-WIP-RRHD-02"/>
    <s v="RACK REPAIR HEAVY DUTY"/>
    <n v="2.5"/>
    <s v="WIP"/>
    <d v="2025-11-27T00:00:00"/>
    <m/>
    <d v="2026-12-04T00:00:00"/>
    <s v="PT AREXAS"/>
    <n v="307"/>
    <n v="65"/>
    <s v="Done Inspect"/>
    <x v="0"/>
    <m/>
    <m/>
    <m/>
    <m/>
  </r>
  <r>
    <m/>
    <s v="BUMA-WIP-RRHD-03"/>
    <s v="RACK REPAIR HEAVY DUTY"/>
    <n v="2.5"/>
    <s v="WIP"/>
    <d v="2025-11-27T00:00:00"/>
    <m/>
    <d v="2026-12-04T00:00:00"/>
    <s v="PT AREXAS"/>
    <n v="307"/>
    <n v="65"/>
    <s v="Done Inspect"/>
    <x v="0"/>
    <m/>
    <m/>
    <m/>
    <m/>
  </r>
  <r>
    <m/>
    <s v="BUMA-WIP-RRHD-04"/>
    <s v="RACK REPAIR HEAVY DUTY"/>
    <n v="2.5"/>
    <s v="WIP"/>
    <d v="2025-11-27T00:00:00"/>
    <m/>
    <d v="2026-12-04T00:00:00"/>
    <s v="PT AREXAS"/>
    <n v="307"/>
    <n v="65"/>
    <s v="Done Inspect"/>
    <x v="0"/>
    <m/>
    <m/>
    <m/>
    <m/>
  </r>
  <r>
    <m/>
    <s v="BUMA-WIP-RRHD-05"/>
    <s v="RACK REPAIR HEAVY DUTY"/>
    <n v="2.5"/>
    <s v="WIP"/>
    <d v="2025-11-27T00:00:00"/>
    <m/>
    <d v="2026-12-04T00:00:00"/>
    <s v="PT AREXAS"/>
    <n v="307"/>
    <n v="65"/>
    <s v="Done Inspect"/>
    <x v="0"/>
    <m/>
    <m/>
    <m/>
    <m/>
  </r>
  <r>
    <m/>
    <s v="BUMA-WIP-RRHD-06"/>
    <s v="RACK REPAIR HEAVY DUTY"/>
    <n v="2.5"/>
    <s v="WIP"/>
    <d v="2025-11-27T00:00:00"/>
    <m/>
    <d v="2026-12-04T00:00:00"/>
    <s v="PT AREXAS"/>
    <n v="307"/>
    <n v="65"/>
    <s v="Done Inspect"/>
    <x v="0"/>
    <m/>
    <m/>
    <m/>
    <m/>
  </r>
  <r>
    <m/>
    <s v="BUMA-WIP-RRHD-07"/>
    <s v="RACK REPAIR HEAVY DUTY"/>
    <n v="2.5"/>
    <s v="WIP"/>
    <d v="2025-11-27T00:00:00"/>
    <m/>
    <d v="2026-12-04T00:00:00"/>
    <s v="PT AREXAS"/>
    <n v="307"/>
    <n v="65"/>
    <s v="Done Inspect"/>
    <x v="0"/>
    <m/>
    <m/>
    <m/>
    <m/>
  </r>
  <r>
    <m/>
    <s v="BUMA-WIP-RRHD-08"/>
    <s v="RACK REPAIR HEAVY DUTY"/>
    <n v="2.5"/>
    <s v="WIP"/>
    <d v="2025-11-27T00:00:00"/>
    <m/>
    <d v="2026-12-04T00:00:00"/>
    <s v="PT AREXAS"/>
    <n v="307"/>
    <n v="65"/>
    <s v="Done Inspect"/>
    <x v="0"/>
    <m/>
    <m/>
    <m/>
    <m/>
  </r>
  <r>
    <m/>
    <s v="BUMA-WIP-RRHD-09"/>
    <s v="RACK REPAIR HEAVY DUTY"/>
    <n v="2.5"/>
    <s v="WIP"/>
    <d v="2025-11-27T00:00:00"/>
    <m/>
    <d v="2026-12-04T00:00:00"/>
    <s v="PT AREXAS"/>
    <n v="307"/>
    <n v="65"/>
    <s v="Done Inspect"/>
    <x v="0"/>
    <m/>
    <m/>
    <m/>
    <m/>
  </r>
  <r>
    <m/>
    <s v="BUMA-WIP-RRHD-10"/>
    <s v="RACK REPAIR HEAVY DUTY"/>
    <n v="2.5"/>
    <s v="WIP"/>
    <d v="2025-11-27T00:00:00"/>
    <m/>
    <d v="2026-12-04T00:00:00"/>
    <s v="PT AREXAS"/>
    <n v="307"/>
    <n v="65"/>
    <s v="Done Inspect"/>
    <x v="0"/>
    <m/>
    <m/>
    <m/>
    <m/>
  </r>
  <r>
    <m/>
    <s v="BUMA-WIP-RRHD-11"/>
    <s v="RACK REPAIR HEAVY DUTY"/>
    <n v="2.5"/>
    <s v="WIP"/>
    <d v="2025-11-27T00:00:00"/>
    <m/>
    <d v="2026-12-04T00:00:00"/>
    <s v="PT AREXAS"/>
    <n v="307"/>
    <n v="65"/>
    <s v="Done Inspect"/>
    <x v="0"/>
    <m/>
    <m/>
    <m/>
    <m/>
  </r>
  <r>
    <m/>
    <s v="BUMA-WIP-RRHD-12"/>
    <s v="RACK REPAIR HEAVY DUTY"/>
    <n v="2.5"/>
    <s v="WIP"/>
    <d v="2025-11-27T00:00:00"/>
    <m/>
    <d v="2026-12-04T00:00:00"/>
    <s v="PT AREXAS"/>
    <n v="307"/>
    <n v="65"/>
    <s v="Done Inspect"/>
    <x v="0"/>
    <m/>
    <m/>
    <m/>
    <m/>
  </r>
  <r>
    <m/>
    <s v="BUMA-WIP-RRHD-13"/>
    <s v="RACK REPAIR HEAVY DUTY"/>
    <n v="2.5"/>
    <s v="WIP"/>
    <d v="2025-11-27T00:00:00"/>
    <m/>
    <d v="2026-12-04T00:00:00"/>
    <s v="PT AREXAS"/>
    <n v="307"/>
    <n v="65"/>
    <s v="Done Inspect"/>
    <x v="0"/>
    <m/>
    <m/>
    <m/>
    <m/>
  </r>
  <r>
    <m/>
    <s v="BUMA-SR-RRHD-01"/>
    <s v="RACK REPAIR HEAVY DUTY"/>
    <n v="2.5"/>
    <s v="Strorage Repair"/>
    <d v="2025-11-27T00:00:00"/>
    <m/>
    <d v="2026-12-04T00:00:00"/>
    <s v="PT AREXAS"/>
    <n v="307"/>
    <n v="65"/>
    <s v="Done Inspect"/>
    <x v="0"/>
    <m/>
    <m/>
    <m/>
    <m/>
  </r>
  <r>
    <m/>
    <s v="BUMA-SR-RRHD-02"/>
    <s v="RACK REPAIR HEAVY DUTY"/>
    <n v="2.5"/>
    <s v="Strorage Repair"/>
    <d v="2025-11-27T00:00:00"/>
    <m/>
    <d v="2026-12-04T00:00:00"/>
    <s v="PT AREXAS"/>
    <n v="307"/>
    <n v="65"/>
    <s v="Done Inspect"/>
    <x v="0"/>
    <m/>
    <m/>
    <m/>
    <m/>
  </r>
  <r>
    <m/>
    <s v="BUMA-SR-RRHD-03"/>
    <s v="RACK REPAIR HEAVY DUTY"/>
    <n v="2.5"/>
    <s v="Strorage Repair"/>
    <d v="2025-11-27T00:00:00"/>
    <m/>
    <d v="2026-12-04T00:00:00"/>
    <s v="PT AREXAS"/>
    <n v="307"/>
    <n v="65"/>
    <s v="Done Inspect"/>
    <x v="0"/>
    <m/>
    <m/>
    <m/>
    <m/>
  </r>
  <r>
    <m/>
    <s v="BUMA-SR-RRHD-04"/>
    <s v="RACK REPAIR HEAVY DUTY"/>
    <n v="2.5"/>
    <s v="Strorage Repair"/>
    <d v="2025-11-27T00:00:00"/>
    <m/>
    <d v="2026-12-04T00:00:00"/>
    <s v="PT AREXAS"/>
    <n v="307"/>
    <n v="65"/>
    <s v="Done Inspect"/>
    <x v="0"/>
    <m/>
    <m/>
    <m/>
    <m/>
  </r>
  <r>
    <m/>
    <s v="BUMA-SR-RRHD-05"/>
    <s v="RACK REPAIR HEAVY DUTY"/>
    <n v="2.5"/>
    <s v="Strorage Repair"/>
    <d v="2025-11-27T00:00:00"/>
    <m/>
    <d v="2026-12-04T00:00:00"/>
    <s v="PT AREXAS"/>
    <n v="307"/>
    <n v="65"/>
    <s v="Done Inspect"/>
    <x v="0"/>
    <m/>
    <m/>
    <m/>
    <m/>
  </r>
  <r>
    <m/>
    <s v="BUMA-SR-RRHD-06"/>
    <s v="RACK REPAIR HEAVY DUTY"/>
    <n v="2.5"/>
    <s v="Strorage Repair"/>
    <d v="2025-11-27T00:00:00"/>
    <m/>
    <d v="2026-12-04T00:00:00"/>
    <s v="PT AREXAS"/>
    <n v="307"/>
    <n v="65"/>
    <s v="Done Inspect"/>
    <x v="0"/>
    <m/>
    <m/>
    <m/>
    <m/>
  </r>
  <r>
    <m/>
    <s v="BUMA-SR-RRHD-07"/>
    <s v="RACK REPAIR HEAVY DUTY"/>
    <n v="2.5"/>
    <s v="Strorage Repair"/>
    <d v="2025-11-27T00:00:00"/>
    <m/>
    <d v="2026-12-04T00:00:00"/>
    <s v="PT AREXAS"/>
    <n v="307"/>
    <n v="65"/>
    <s v="Done Inspect"/>
    <x v="0"/>
    <m/>
    <m/>
    <m/>
    <m/>
  </r>
  <r>
    <m/>
    <s v="BUMA-SR-RRHD-08"/>
    <s v="RACK REPAIR HEAVY DUTY"/>
    <n v="2.5"/>
    <s v="Strorage Repair"/>
    <d v="2025-11-27T00:00:00"/>
    <m/>
    <d v="2026-12-04T00:00:00"/>
    <s v="PT AREXAS"/>
    <n v="307"/>
    <n v="65"/>
    <s v="Done Inspect"/>
    <x v="0"/>
    <m/>
    <m/>
    <m/>
    <m/>
  </r>
  <r>
    <m/>
    <s v="BUMA-SR-RRHD-09"/>
    <s v="RACK REPAIR HEAVY DUTY"/>
    <n v="2.5"/>
    <s v="Strorage Repair"/>
    <d v="2025-11-27T00:00:00"/>
    <m/>
    <d v="2026-12-04T00:00:00"/>
    <s v="PT AREXAS"/>
    <n v="307"/>
    <n v="65"/>
    <s v="Done Inspect"/>
    <x v="0"/>
    <m/>
    <m/>
    <m/>
    <m/>
  </r>
  <r>
    <m/>
    <s v="BUMA-SR-RRHD-10"/>
    <s v="RACK REPAIR HEAVY DUTY"/>
    <n v="2.5"/>
    <s v="Strorage Repair"/>
    <d v="2025-11-27T00:00:00"/>
    <m/>
    <d v="2026-12-04T00:00:00"/>
    <s v="PT AREXAS"/>
    <n v="307"/>
    <n v="65"/>
    <s v="Done Inspect"/>
    <x v="0"/>
    <m/>
    <m/>
    <m/>
    <m/>
  </r>
  <r>
    <m/>
    <s v="BUMA-SR-RRHD-11"/>
    <s v="RACK REPAIR HEAVY DUTY"/>
    <n v="2.5"/>
    <s v="Strorage Repair"/>
    <d v="2025-11-27T00:00:00"/>
    <m/>
    <d v="2026-12-04T00:00:00"/>
    <s v="PT AREXAS"/>
    <n v="307"/>
    <n v="65"/>
    <s v="Done Inspect"/>
    <x v="0"/>
    <m/>
    <m/>
    <m/>
    <m/>
  </r>
  <r>
    <m/>
    <s v="BUMA-SR-RRHD-12"/>
    <s v="RACK REPAIR HEAVY DUTY"/>
    <n v="2.5"/>
    <s v="Strorage Repair"/>
    <d v="2025-11-27T00:00:00"/>
    <m/>
    <d v="2026-12-04T00:00:00"/>
    <s v="PT AREXAS"/>
    <n v="307"/>
    <n v="65"/>
    <s v="Done Inspect"/>
    <x v="0"/>
    <m/>
    <m/>
    <m/>
    <m/>
  </r>
  <r>
    <m/>
    <s v="BUMA-SR-RRHD-13"/>
    <s v="RACK REPAIR HEAVY DUTY"/>
    <n v="2.5"/>
    <s v="Strorage Repair"/>
    <d v="2025-11-27T00:00:00"/>
    <m/>
    <d v="2026-12-04T00:00:00"/>
    <s v="PT AREXAS"/>
    <n v="307"/>
    <n v="65"/>
    <s v="Done Inspect"/>
    <x v="0"/>
    <m/>
    <m/>
    <m/>
    <m/>
  </r>
  <r>
    <m/>
    <s v="BUMA-SR-RRHD-14"/>
    <s v="RACK REPAIR HEAVY DUTY"/>
    <n v="2.5"/>
    <s v="Strorage Repair"/>
    <d v="2025-11-27T00:00:00"/>
    <m/>
    <d v="2026-12-04T00:00:00"/>
    <s v="PT AREXAS"/>
    <n v="307"/>
    <n v="65"/>
    <s v="Done Inspect"/>
    <x v="0"/>
    <m/>
    <m/>
    <m/>
    <m/>
  </r>
  <r>
    <m/>
    <s v="BM-CS-7701"/>
    <s v="CHAIN SLING"/>
    <n v="5.5"/>
    <s v="0"/>
    <d v="2025-11-27T00:00:00"/>
    <m/>
    <d v="2026-12-10T00:00:00"/>
    <s v="PT AREXAS"/>
    <n v="307"/>
    <n v="71"/>
    <s v="Done Inspect"/>
    <x v="0"/>
    <m/>
    <m/>
    <m/>
    <m/>
  </r>
  <r>
    <m/>
    <n v="7709"/>
    <s v="CRANE TRAVEL"/>
    <n v="2"/>
    <s v="Disassembly"/>
    <d v="2025-11-27T00:00:00"/>
    <s v="5509/CI/AI/XI/25/MCL"/>
    <d v="2026-12-10T00:00:00"/>
    <s v="PT AREXAS"/>
    <n v="307"/>
    <n v="71"/>
    <s v="Done Inspect"/>
    <x v="0"/>
    <m/>
    <m/>
    <m/>
    <m/>
  </r>
  <r>
    <m/>
    <n v="7710"/>
    <s v="CRANE TRAVEL"/>
    <n v="2"/>
    <s v="Washing"/>
    <d v="2025-11-27T00:00:00"/>
    <m/>
    <d v="2026-12-10T00:00:00"/>
    <s v="PT AREXAS"/>
    <n v="307"/>
    <n v="71"/>
    <s v="Done Inspect"/>
    <x v="0"/>
    <m/>
    <m/>
    <m/>
    <m/>
  </r>
  <r>
    <m/>
    <s v="WCAB03001"/>
    <s v="CRANE TRAVEL"/>
    <n v="3.2"/>
    <s v="Assembly"/>
    <d v="2025-11-27T00:00:00"/>
    <m/>
    <d v="2026-12-10T00:00:00"/>
    <s v="PT AREXAS"/>
    <n v="307"/>
    <n v="71"/>
    <s v="Done Inspect"/>
    <x v="0"/>
    <m/>
    <m/>
    <m/>
    <m/>
  </r>
  <r>
    <m/>
    <s v="WCAB03002"/>
    <s v="CRANE TRAVEL"/>
    <n v="3.2"/>
    <s v="Assembly"/>
    <d v="2025-11-27T00:00:00"/>
    <m/>
    <d v="2026-12-10T00:00:00"/>
    <s v="PT AREXAS"/>
    <n v="307"/>
    <n v="71"/>
    <s v="Done Inspect"/>
    <x v="0"/>
    <m/>
    <m/>
    <m/>
    <m/>
  </r>
  <r>
    <m/>
    <s v="WCAB05001"/>
    <s v="CRANE TRAVEL"/>
    <n v="5"/>
    <s v="Assembly"/>
    <d v="2025-11-27T00:00:00"/>
    <m/>
    <d v="2026-12-10T00:00:00"/>
    <s v="PT AREXAS"/>
    <n v="307"/>
    <n v="71"/>
    <s v="Done Inspect"/>
    <x v="0"/>
    <m/>
    <m/>
    <m/>
    <m/>
  </r>
  <r>
    <m/>
    <s v="WCAB05002"/>
    <s v="CRANE TRAVEL"/>
    <n v="5"/>
    <s v="Assembly"/>
    <d v="2025-11-27T00:00:00"/>
    <m/>
    <d v="2026-12-10T00:00:00"/>
    <s v="PT AREXAS"/>
    <n v="307"/>
    <n v="71"/>
    <s v="Done Inspect"/>
    <x v="0"/>
    <m/>
    <m/>
    <m/>
    <m/>
  </r>
  <r>
    <m/>
    <s v="WCAB07001"/>
    <s v="CRANE TRAVEL"/>
    <n v="7.5"/>
    <s v="Disassembly Bay 1"/>
    <d v="2025-11-27T00:00:00"/>
    <m/>
    <d v="2026-12-10T00:00:00"/>
    <s v="PT AREXAS"/>
    <n v="307"/>
    <n v="71"/>
    <s v="Done Inspect"/>
    <x v="0"/>
    <m/>
    <m/>
    <m/>
    <m/>
  </r>
  <r>
    <m/>
    <s v="WCAB07002"/>
    <s v="CRANE TRAVEL"/>
    <n v="7.5"/>
    <s v="Disassembly"/>
    <d v="2025-11-27T00:00:00"/>
    <m/>
    <d v="2026-12-10T00:00:00"/>
    <s v="PT AREXAS"/>
    <n v="307"/>
    <n v="71"/>
    <s v="Done Inspect"/>
    <x v="0"/>
    <m/>
    <m/>
    <m/>
    <m/>
  </r>
  <r>
    <m/>
    <s v="OCAB03001"/>
    <s v="OHC"/>
    <n v="3.2"/>
    <s v="Test Bench Pt"/>
    <d v="2025-11-27T00:00:00"/>
    <m/>
    <d v="2026-12-10T00:00:00"/>
    <s v="PT AREXAS"/>
    <n v="307"/>
    <n v="71"/>
    <s v="Done Inspect"/>
    <x v="0"/>
    <m/>
    <m/>
    <m/>
    <m/>
  </r>
  <r>
    <m/>
    <s v="OCAB10001"/>
    <s v="OHC"/>
    <n v="10"/>
    <s v="Assembly"/>
    <d v="2025-12-10T00:00:00"/>
    <m/>
    <d v="2026-12-10T00:00:00"/>
    <s v="PT AREXAS"/>
    <n v="294"/>
    <n v="71"/>
    <s v="Done Inspect"/>
    <x v="0"/>
    <m/>
    <m/>
    <m/>
    <m/>
  </r>
  <r>
    <m/>
    <s v="FLPT50008"/>
    <s v="FORKLIFT"/>
    <n v="5"/>
    <s v="BRC"/>
    <d v="2025-11-27T00:00:00"/>
    <s v="5516/CI/AI/XI/25/MCL"/>
    <d v="2026-12-10T00:00:00"/>
    <s v="PT AREXAS"/>
    <n v="307"/>
    <n v="71"/>
    <s v="Done Inspect"/>
    <x v="0"/>
    <m/>
    <m/>
    <m/>
    <m/>
  </r>
  <r>
    <m/>
    <s v="FLPT10001"/>
    <s v="FORKLIFT"/>
    <n v="10"/>
    <s v="BRC"/>
    <d v="2025-11-27T00:00:00"/>
    <s v="5517/CI/AI/XI/25/MCL"/>
    <d v="2026-12-10T00:00:00"/>
    <s v="PT AREXAS"/>
    <n v="307"/>
    <n v="71"/>
    <s v="Done Inspect"/>
    <x v="0"/>
    <m/>
    <m/>
    <m/>
    <m/>
  </r>
  <r>
    <m/>
    <s v="FLPT30033"/>
    <s v="FORKLIFT"/>
    <n v="3"/>
    <s v="BRC"/>
    <d v="2025-11-27T00:00:00"/>
    <m/>
    <d v="2026-12-10T00:00:00"/>
    <s v="PT AREXAS"/>
    <n v="307"/>
    <n v="71"/>
    <s v="Done Inspect"/>
    <x v="0"/>
    <m/>
    <m/>
    <m/>
    <m/>
  </r>
  <r>
    <m/>
    <s v="BM-ART-02"/>
    <s v="AIR RECIEVER TANK"/>
    <m/>
    <s v="BRC"/>
    <d v="2026-01-05T00:00:00"/>
    <m/>
    <d v="2027-01-05T00:00:00"/>
    <s v="PT AREXAS"/>
    <n v="268"/>
    <n v="97"/>
    <s v="Done Inspect"/>
    <x v="0"/>
    <m/>
    <m/>
    <m/>
    <m/>
  </r>
  <r>
    <m/>
    <s v="BM-ART-01"/>
    <s v="AIR RECIEVER TANK"/>
    <m/>
    <s v="BRC"/>
    <d v="2026-01-05T00:00:00"/>
    <m/>
    <d v="2027-01-05T00:00:00"/>
    <s v="PT AREXAS"/>
    <n v="268"/>
    <n v="97"/>
    <s v="Done Inspect"/>
    <x v="0"/>
    <m/>
    <m/>
    <m/>
    <m/>
  </r>
  <r>
    <m/>
    <s v="EPW-HFPR-200"/>
    <s v="JACK PRESS"/>
    <n v="200"/>
    <s v="Disassembly"/>
    <d v="2026-01-05T00:00:00"/>
    <m/>
    <d v="2027-01-05T00:00:00"/>
    <s v="PT AREXAS"/>
    <n v="268"/>
    <n v="97"/>
    <s v="Done Inspect"/>
    <x v="0"/>
    <m/>
    <m/>
    <m/>
    <m/>
  </r>
  <r>
    <m/>
    <s v="BM-MK-01"/>
    <m/>
    <n v="2"/>
    <s v="After Repair"/>
    <d v="2026-01-19T00:00:00"/>
    <s v="0146/CI/AI/I/26/ABN"/>
    <d v="2027-01-19T00:00:00"/>
    <s v="PT AREXAS"/>
    <n v="254"/>
    <n v="111"/>
    <s v="Done Inspect"/>
    <x v="0"/>
    <m/>
    <m/>
    <m/>
    <m/>
  </r>
  <r>
    <m/>
    <s v="FLPT50006"/>
    <s v="FORKLIFT"/>
    <n v="5"/>
    <s v="BRC"/>
    <d v="2026-01-30T00:00:00"/>
    <s v="0316/CI/AI/II/26/ABN"/>
    <d v="2027-01-30T00:00:00"/>
    <s v="PT AREXAS"/>
    <n v="243"/>
    <n v="122"/>
    <s v="Done Inspect"/>
    <x v="0"/>
    <m/>
    <m/>
    <m/>
    <m/>
  </r>
  <r>
    <m/>
    <s v="BUMA-SR-RRHD-15"/>
    <s v="RACK REPAIR HEAVY DUTY"/>
    <n v="2.6"/>
    <s v="Strorage Repair"/>
    <d v="2026-02-12T00:00:00"/>
    <m/>
    <d v="2027-02-12T00:00:00"/>
    <s v="PT AREXAS"/>
    <n v="230"/>
    <n v="135"/>
    <s v="Done Inspect"/>
    <x v="0"/>
    <m/>
    <m/>
    <m/>
    <m/>
  </r>
  <r>
    <m/>
    <s v="BUMA-SR-RRHD-16"/>
    <s v="RACK REPAIR HEAVY DUTY"/>
    <n v="2.6"/>
    <s v="Strorage Repair"/>
    <d v="2026-02-12T00:00:00"/>
    <m/>
    <d v="2027-02-12T00:00:00"/>
    <s v="PT AREXAS"/>
    <n v="230"/>
    <n v="135"/>
    <s v="Done Inspect"/>
    <x v="0"/>
    <m/>
    <m/>
    <m/>
    <m/>
  </r>
  <r>
    <m/>
    <s v="BM-MH-01"/>
    <s v="GANTRY CRANE"/>
    <n v="5"/>
    <s v="Pre Washing"/>
    <d v="2026-03-27T00:00:00"/>
    <m/>
    <d v="2027-03-27T00:00:00"/>
    <s v="PT AREXAS"/>
    <n v="187"/>
    <n v="178"/>
    <s v="Done Inspect"/>
    <x v="0"/>
    <m/>
    <m/>
    <m/>
    <m/>
  </r>
  <r>
    <m/>
    <s v="BRC-HP-368"/>
    <s v="HAND PALLET"/>
    <n v="1.5"/>
    <s v="Assembly"/>
    <d v="2026-03-27T00:00:00"/>
    <m/>
    <d v="2027-03-27T00:00:00"/>
    <s v="PT AREXAS"/>
    <n v="187"/>
    <n v="178"/>
    <s v="Done Inspect"/>
    <x v="0"/>
    <m/>
    <m/>
    <m/>
    <m/>
  </r>
  <r>
    <m/>
    <s v="BRC-HP-369"/>
    <s v="HAND PALLET"/>
    <n v="1.5"/>
    <s v="Assembly"/>
    <d v="2026-03-27T00:00:00"/>
    <m/>
    <d v="2027-03-27T00:00:00"/>
    <s v="PT AREXAS"/>
    <n v="187"/>
    <n v="178"/>
    <s v="Done Inspect"/>
    <x v="0"/>
    <m/>
    <m/>
    <m/>
    <m/>
  </r>
  <r>
    <m/>
    <s v="BRC-ETF-001"/>
    <s v="EXTENSION FORKLIFT"/>
    <n v="1"/>
    <s v="Fabrikasi"/>
    <d v="2026-07-09T00:00:00"/>
    <s v="2818/CI/AI/VII/26/PDA"/>
    <d v="2027-07-09T00:00:00"/>
    <s v="PT AREXAS"/>
    <n v="83"/>
    <n v="282"/>
    <s v="Done Inspect"/>
    <x v="0"/>
    <m/>
    <m/>
    <m/>
    <m/>
  </r>
  <r>
    <m/>
    <s v="FLKM18001"/>
    <s v="FORKLIFT"/>
    <n v="1.8"/>
    <s v="BRC"/>
    <d v="2026-08-13T00:00:00"/>
    <m/>
    <d v="2027-08-13T00:00:00"/>
    <s v="PT AREXAS"/>
    <n v="48"/>
    <n v="317"/>
    <s v="Done Inspect"/>
    <x v="0"/>
    <m/>
    <m/>
    <m/>
    <m/>
  </r>
  <r>
    <m/>
    <s v="BRC-SA-02"/>
    <s v="STAND ASSEMBLY"/>
    <n v="0.5"/>
    <s v="Assembly"/>
    <d v="2026-08-13T00:00:00"/>
    <s v="3131/CI/AI/VIII/26/PDA"/>
    <d v="2027-08-13T00:00:00"/>
    <s v="PT AREXAS"/>
    <n v="48"/>
    <n v="317"/>
    <s v="Done Inspect"/>
    <x v="0"/>
    <m/>
    <m/>
    <m/>
    <m/>
  </r>
  <r>
    <m/>
    <s v="BRC-ETF-002"/>
    <s v="EXTENSION FORKLIFT"/>
    <n v="1"/>
    <s v="Fabrikasi"/>
    <d v="2026-08-13T00:00:00"/>
    <s v="3132/CI/AI/VIII/26/PDA"/>
    <d v="2027-08-13T00:00:00"/>
    <s v="PT AREXAS"/>
    <n v="48"/>
    <n v="317"/>
    <s v="Done Inspect"/>
    <x v="0"/>
    <m/>
    <m/>
    <m/>
    <m/>
  </r>
  <r>
    <m/>
    <s v="BRC-ROSD-01"/>
    <s v="ROLLOVER STAND"/>
    <n v="2.5"/>
    <s v="Assembly (Bay 4)"/>
    <d v="2026-08-13T00:00:00"/>
    <s v="3129/CI/AI/VIII/26/PDA"/>
    <d v="2027-08-13T00:00:00"/>
    <s v="PT AREXAS"/>
    <n v="48"/>
    <n v="317"/>
    <s v="Done Inspect"/>
    <x v="0"/>
    <m/>
    <m/>
    <m/>
    <m/>
  </r>
  <r>
    <m/>
    <s v="BRC-ROSD-02"/>
    <s v="ROLLOVER STAND"/>
    <n v="2.5"/>
    <s v="Assembly (Bay 15)"/>
    <d v="2026-08-13T00:00:00"/>
    <s v="3130/CI/AI/VIII/26/PDA"/>
    <d v="2027-08-13T00:00:00"/>
    <s v="PT AREXAS"/>
    <n v="48"/>
    <n v="317"/>
    <s v="Done Inspect"/>
    <x v="0"/>
    <m/>
    <m/>
    <m/>
    <m/>
  </r>
  <r>
    <m/>
    <s v="BRC-HP-02"/>
    <s v="HAND PALLET"/>
    <n v="3"/>
    <s v="Assembly"/>
    <d v="2026-03-27T00:00:00"/>
    <s v="3314/CI/AI/VIII/26/PDA"/>
    <d v="2027-08-13T00:00:00"/>
    <s v="PT AREXAS"/>
    <n v="187"/>
    <n v="317"/>
    <s v="Done Inspect"/>
    <x v="0"/>
    <m/>
    <m/>
    <m/>
    <m/>
  </r>
  <r>
    <m/>
    <s v="BRC-HP-04"/>
    <s v="HAND PALLET"/>
    <n v="3"/>
    <s v="Disassembly"/>
    <d v="2026-08-13T00:00:00"/>
    <s v="3126/CI/ AI/VIII/26/PDA"/>
    <d v="2027-08-13T00:00:00"/>
    <s v="PT AREXAS"/>
    <n v="48"/>
    <n v="317"/>
    <s v="Done Inspect"/>
    <x v="0"/>
    <m/>
    <m/>
    <m/>
    <m/>
  </r>
  <r>
    <m/>
    <s v="BRC-HP-06"/>
    <s v="HAND PALLET"/>
    <n v="3"/>
    <s v="Disassembly"/>
    <d v="2026-08-13T00:00:00"/>
    <s v="3127/CI/AI/VIII/26/PDA"/>
    <d v="2027-08-13T00:00:00"/>
    <s v="PT AREXAS"/>
    <n v="48"/>
    <n v="317"/>
    <s v="Done Inspect"/>
    <x v="0"/>
    <m/>
    <m/>
    <m/>
    <m/>
  </r>
  <r>
    <m/>
    <s v="BRC-HP-07"/>
    <s v="HAND PALLET"/>
    <n v="3"/>
    <s v="Disassembly"/>
    <d v="2026-08-13T00:00:00"/>
    <s v="31/28/CI/AI/VIII/26/PDA"/>
    <d v="2027-08-13T00:00:00"/>
    <s v="PT AREXAS"/>
    <n v="48"/>
    <n v="317"/>
    <s v="Done Inspect"/>
    <x v="0"/>
    <m/>
    <m/>
    <m/>
    <m/>
  </r>
  <r>
    <m/>
    <s v="BRC-JP-03"/>
    <s v="JACK PRESS"/>
    <n v="30"/>
    <s v="Assembly"/>
    <d v="2026-09-01T00:00:00"/>
    <m/>
    <d v="2027-09-01T00:00:00"/>
    <s v="PT AREXAS"/>
    <n v="29"/>
    <n v="336"/>
    <s v="Done Inspect"/>
    <x v="0"/>
    <s v="GOOD"/>
    <m/>
    <m/>
    <n v="4010392940"/>
  </r>
  <r>
    <m/>
    <s v="MLKB10001"/>
    <s v="MAN LIFT"/>
    <n v="0.2"/>
    <s v="Assembly"/>
    <d v="2026-09-01T00:00:00"/>
    <m/>
    <d v="2027-09-01T00:00:00"/>
    <s v="PT AREXAS"/>
    <n v="29"/>
    <n v="336"/>
    <s v="Done Inspect"/>
    <x v="0"/>
    <s v="GOOD"/>
    <m/>
    <m/>
    <n v="4010392940"/>
  </r>
  <r>
    <m/>
    <s v="BRC-FD-02"/>
    <s v="STAND TEST BENCH FINAL DRIVE"/>
    <n v="4"/>
    <s v="Test Bench"/>
    <d v="2026-09-01T00:00:00"/>
    <m/>
    <d v="2027-09-01T00:00:00"/>
    <s v="PT AREXAS"/>
    <n v="29"/>
    <n v="336"/>
    <s v="Done Inspect"/>
    <x v="0"/>
    <s v="GOOD"/>
    <m/>
    <m/>
    <n v="4010392940"/>
  </r>
  <r>
    <m/>
    <s v="BRC-FD-01"/>
    <s v="STAND TEST BENCH FINAL DRIVE"/>
    <n v="4"/>
    <s v="Test Bench"/>
    <d v="2026-09-01T00:00:00"/>
    <m/>
    <d v="2027-09-01T00:00:00"/>
    <s v="PT AREXAS"/>
    <n v="29"/>
    <n v="336"/>
    <s v="Done Inspect"/>
    <x v="0"/>
    <s v="GOOD"/>
    <m/>
    <m/>
    <n v="4010392940"/>
  </r>
  <r>
    <m/>
    <s v="BRC-TLCH-01"/>
    <s v="TEST LEAKING CYLINDER HEAD "/>
    <m/>
    <s v="Disassy Bay 1"/>
    <d v="2026-09-03T00:00:00"/>
    <m/>
    <d v="2027-09-03T00:00:00"/>
    <s v="PT AREXAS"/>
    <n v="27"/>
    <n v="338"/>
    <s v="Done Inspect"/>
    <x v="0"/>
    <s v="GOOD"/>
    <m/>
    <m/>
    <n v="4010392940"/>
  </r>
  <r>
    <m/>
    <s v="BRC-LB-01"/>
    <s v="LINK BRACKET"/>
    <n v="1.020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02"/>
    <s v="LINK BRACKET"/>
    <n v="1.020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03"/>
    <s v="LINK BRACKET"/>
    <n v="1.020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04"/>
    <s v="LINK BRACKET"/>
    <n v="1.020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05"/>
    <s v="LINK BRACKET"/>
    <n v="1.8140000000000001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06"/>
    <s v="LINK BRACKET"/>
    <n v="1.8140000000000001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07"/>
    <s v="LINK BRACKET"/>
    <n v="1.8140000000000001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08"/>
    <s v="LINK BRACKET"/>
    <n v="1.8140000000000001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09"/>
    <s v="LINK BRACKET"/>
    <n v="1.8140000000000001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10"/>
    <s v="LINK BRACKET"/>
    <n v="1.8140000000000001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11"/>
    <s v="LINK BRACKET"/>
    <n v="1.8140000000000001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12"/>
    <s v="LINK BRACKET"/>
    <n v="4.081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13"/>
    <s v="LINK BRACKET"/>
    <n v="4.081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14"/>
    <s v="LINK BRACKET"/>
    <n v="4.081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15"/>
    <s v="LINK BRACKET"/>
    <n v="4.081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16"/>
    <s v="LINK BRACKET"/>
    <n v="4.081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17"/>
    <s v="LINK BRACKET"/>
    <n v="4.081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18"/>
    <s v="LINK BRACKET"/>
    <n v="4.081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19"/>
    <s v="LINK BRACKET"/>
    <n v="4.081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20"/>
    <s v="LINK BRACKET"/>
    <n v="4.081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21"/>
    <s v="LINK BRACKET"/>
    <n v="4.081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LB-22"/>
    <s v="LINK BRACKET"/>
    <n v="4.0819999999999999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01"/>
    <s v="EYE BOLT"/>
    <n v="0.1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02"/>
    <s v="EYE BOLT"/>
    <n v="0.1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03"/>
    <s v="EYE BOLT"/>
    <n v="0.1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04"/>
    <s v="EYE BOLT"/>
    <n v="0.1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05"/>
    <s v="EYE BOLT"/>
    <n v="0.1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06"/>
    <s v="EYE BOLT"/>
    <n v="0.1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07"/>
    <s v="EYE BOLT"/>
    <n v="0.1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08"/>
    <s v="EYE BOLT"/>
    <n v="0.22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09"/>
    <s v="EYE BOLT"/>
    <n v="0.22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10"/>
    <s v="EYE BOLT"/>
    <n v="0.22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11"/>
    <s v="EYE BOLT"/>
    <n v="0.4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12"/>
    <s v="EYE BOLT"/>
    <n v="0.4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13"/>
    <s v="EYE BOLT"/>
    <n v="0.4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14"/>
    <s v="EYE BOLT"/>
    <n v="0.4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15"/>
    <s v="EYE BOLT"/>
    <n v="0.63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16"/>
    <s v="EYE BOLT"/>
    <n v="0.63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17"/>
    <s v="EYE BOLT"/>
    <n v="0.63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18"/>
    <s v="EYE BOLT"/>
    <n v="0.63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19"/>
    <s v="EYE BOLT"/>
    <n v="0.63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20"/>
    <s v="EYE BOLT"/>
    <n v="0.63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21"/>
    <s v="EYE BOLT"/>
    <n v="0.7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22"/>
    <s v="EYE BOLT"/>
    <n v="0.7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23"/>
    <s v="EYE BOLT"/>
    <n v="0.7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24"/>
    <s v="EYE BOLT"/>
    <n v="0.7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25"/>
    <s v="EYE BOLT"/>
    <n v="0.7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26"/>
    <s v="EYE BOLT"/>
    <n v="0.7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27"/>
    <s v="EYE BOLT"/>
    <n v="0.7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28"/>
    <s v="EYE BOLT"/>
    <n v="0.9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29"/>
    <s v="EYE BOLT"/>
    <n v="0.9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30"/>
    <s v="EYE BOLT"/>
    <n v="0.9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31"/>
    <s v="EYE BOLT"/>
    <n v="0.9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32"/>
    <s v="EYE BOLT"/>
    <n v="0.9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33"/>
    <s v="EYE BOLT"/>
    <n v="0.9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34"/>
    <s v="EYE BOLT"/>
    <n v="1.2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35"/>
    <s v="EYE BOLT"/>
    <n v="1.2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36"/>
    <s v="EYE BOLT"/>
    <n v="1.2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37"/>
    <s v="EYE BOLT"/>
    <n v="1.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38"/>
    <s v="EYE BOLT"/>
    <n v="1.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39"/>
    <s v="EYE BOLT"/>
    <n v="1.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40"/>
    <s v="EYE BOLT"/>
    <n v="2.7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41"/>
    <s v="EYE BOLT"/>
    <n v="2.7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EB-42"/>
    <s v="EYE BOLT"/>
    <n v="2.7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RG-01"/>
    <s v="RING GEAR 785-7"/>
    <n v="0.1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RG-02"/>
    <s v="RING GEAR 785-7"/>
    <n v="0.1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RG-03"/>
    <s v="RING GEAR 785-7"/>
    <n v="0.1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01"/>
    <s v="SHACKLE"/>
    <n v="1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02"/>
    <s v="SHACKLE"/>
    <n v="1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03"/>
    <s v="SHACKLE"/>
    <n v="1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04"/>
    <s v="SHACKLE"/>
    <n v="1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05"/>
    <s v="SHACKLE"/>
    <n v="2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06"/>
    <s v="SHACKLE"/>
    <n v="2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07"/>
    <s v="SHACKLE"/>
    <n v="2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08"/>
    <s v="SHACKLE"/>
    <n v="2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09"/>
    <s v="SHACKLE"/>
    <n v="3.2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10"/>
    <s v="SHACKLE"/>
    <n v="3.2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11"/>
    <s v="SHACKLE"/>
    <n v="3.2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12"/>
    <s v="SHACKLE"/>
    <n v="4.7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13"/>
    <s v="SHACKLE"/>
    <n v="4.7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14"/>
    <s v="SHACKLE"/>
    <n v="8.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C-15"/>
    <s v="SHACKLE"/>
    <n v="8.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P-01"/>
    <s v="SWIPEL"/>
    <n v="1.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P-02"/>
    <s v="SWIPEL"/>
    <n v="1.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P-03"/>
    <s v="SWIPEL"/>
    <n v="1.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P-04"/>
    <s v="SWIPEL"/>
    <n v="2.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P-05"/>
    <s v="SWIPEL"/>
    <n v="2.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P-06"/>
    <s v="SWIPEL"/>
    <n v="2.5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P-07"/>
    <s v="SWIPEL"/>
    <n v="4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P-08"/>
    <s v="SWIPEL"/>
    <n v="4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P-09"/>
    <s v="SWIPEL"/>
    <n v="4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FLKM18004"/>
    <s v="FORKLIFT"/>
    <n v="1.8"/>
    <s v="BRC"/>
    <d v="2026-09-03T00:00:00"/>
    <m/>
    <d v="2027-09-03T00:00:00"/>
    <s v="PT AREXAS"/>
    <n v="27"/>
    <n v="338"/>
    <s v="Done Inspect"/>
    <x v="0"/>
    <s v="GOOD"/>
    <m/>
    <m/>
    <n v="4010392940"/>
  </r>
  <r>
    <m/>
    <s v="BRC-SRL-002"/>
    <s v="SCISSOR LIFT"/>
    <n v="6"/>
    <s v="Assembly"/>
    <d v="2026-09-03T00:00:00"/>
    <m/>
    <d v="2027-09-03T00:00:00"/>
    <s v="PT AREXAS"/>
    <n v="27"/>
    <n v="338"/>
    <s v="Done Inspect"/>
    <x v="0"/>
    <s v="GOOD"/>
    <m/>
    <m/>
    <n v="4010392940"/>
  </r>
  <r>
    <m/>
    <s v="BRC-JB-01"/>
    <s v="JACK BOTTLE "/>
    <n v="12"/>
    <s v="Tool Room"/>
    <d v="2026-09-03T00:00:00"/>
    <m/>
    <d v="2027-09-03T00:00:00"/>
    <s v="PT AREXAS"/>
    <n v="27"/>
    <n v="338"/>
    <s v="Done Inspect"/>
    <x v="0"/>
    <s v="GOOD"/>
    <m/>
    <m/>
    <n v="4010392940"/>
  </r>
  <r>
    <m/>
    <s v="BRC-SE-01"/>
    <s v="STAND ENGINE "/>
    <n v="8"/>
    <s v="0"/>
    <d v="2026-09-03T00:00:00"/>
    <m/>
    <d v="2027-09-03T00:00:00"/>
    <s v="PT AREXAS"/>
    <n v="27"/>
    <n v="338"/>
    <s v="Done Inspect"/>
    <x v="0"/>
    <s v="GOOD"/>
    <m/>
    <m/>
    <n v="4010392940"/>
  </r>
  <r>
    <m/>
    <s v="BRC-SE-02"/>
    <s v="STAND ENGINE "/>
    <n v="8"/>
    <s v="0"/>
    <d v="2026-09-03T00:00:00"/>
    <m/>
    <d v="2027-09-03T00:00:00"/>
    <s v="PT AREXAS"/>
    <n v="27"/>
    <n v="338"/>
    <s v="Done Inspect"/>
    <x v="0"/>
    <s v="GOOD"/>
    <m/>
    <m/>
    <n v="4010392940"/>
  </r>
  <r>
    <m/>
    <s v="BRC-SE-03"/>
    <s v="STAND ENGINE "/>
    <n v="8"/>
    <s v="0"/>
    <d v="2026-09-03T00:00:00"/>
    <m/>
    <d v="2027-09-03T00:00:00"/>
    <s v="PT AREXAS"/>
    <n v="27"/>
    <n v="338"/>
    <s v="Done Inspect"/>
    <x v="0"/>
    <s v="GOOD"/>
    <m/>
    <m/>
    <n v="4010392940"/>
  </r>
  <r>
    <m/>
    <s v="BRC-SE-04"/>
    <s v="STAND ENGINE "/>
    <n v="8"/>
    <s v="0"/>
    <d v="2026-09-03T00:00:00"/>
    <m/>
    <d v="2027-09-03T00:00:00"/>
    <s v="PT AREXAS"/>
    <n v="27"/>
    <n v="338"/>
    <s v="Done Inspect"/>
    <x v="0"/>
    <s v="GOOD"/>
    <m/>
    <m/>
    <n v="4010392940"/>
  </r>
  <r>
    <m/>
    <s v="BRC-HJ-01"/>
    <s v="HYDRAULIC JACK"/>
    <n v="100"/>
    <s v="Interport"/>
    <d v="2026-09-03T00:00:00"/>
    <m/>
    <d v="2027-09-03T00:00:00"/>
    <s v="PT AREXAS"/>
    <n v="27"/>
    <n v="338"/>
    <s v="Done Inspect"/>
    <x v="0"/>
    <s v="GOOD"/>
    <m/>
    <m/>
    <n v="4010392940"/>
  </r>
  <r>
    <m/>
    <s v="BRC-HP-08"/>
    <s v="HAND PALLET"/>
    <n v="3"/>
    <s v="Disassembly"/>
    <d v="2026-08-13T00:00:00"/>
    <s v="3315/CI/AI/VIII/26/PDA"/>
    <d v="2027-08-13T00:00:00"/>
    <s v="PT AREXAS"/>
    <n v="48"/>
    <n v="317"/>
    <s v="Done Inspect"/>
    <x v="0"/>
    <m/>
    <m/>
    <m/>
    <m/>
  </r>
  <r>
    <m/>
    <s v="BRC-HP-09"/>
    <s v="HAND PALLET"/>
    <n v="3"/>
    <s v="Disassembly"/>
    <d v="2026-08-13T00:00:00"/>
    <s v="3316/CI/AI/VIII/26/PDA"/>
    <d v="2027-08-13T00:00:00"/>
    <s v="PT AREXAS"/>
    <n v="48"/>
    <n v="317"/>
    <s v="Done Inspect"/>
    <x v="0"/>
    <m/>
    <m/>
    <m/>
    <m/>
  </r>
  <r>
    <m/>
    <s v="BM-103A"/>
    <s v="EXTENSION FORKLIFT"/>
    <n v="2.25"/>
    <s v="Disassembly"/>
    <d v="2026-09-01T00:00:00"/>
    <m/>
    <d v="2027-09-01T00:00:00"/>
    <s v="PT AREXAS"/>
    <n v="29"/>
    <n v="336"/>
    <s v="Done Inspect"/>
    <x v="0"/>
    <s v="GOOD"/>
    <m/>
    <m/>
    <n v="4010392940"/>
  </r>
  <r>
    <m/>
    <s v="BRC-JB-02"/>
    <s v="JACK BOTTLE "/>
    <n v="12"/>
    <s v="Tool Room"/>
    <d v="2026-09-28T00:00:00"/>
    <m/>
    <d v="2027-09-28T00:00:00"/>
    <s v="PT AREXAS"/>
    <n v="2"/>
    <n v="363"/>
    <s v="Done Inspect"/>
    <x v="0"/>
    <s v="GOOD"/>
    <m/>
    <s v="Additional"/>
    <n v="4010392940"/>
  </r>
  <r>
    <m/>
    <s v="BM-BIN-ST-SJ-0042"/>
    <s v="STAND JACK"/>
    <n v="20"/>
    <s v="Interport"/>
    <d v="2026-07-08T00:00:00"/>
    <m/>
    <d v="2027-07-08T00:00:00"/>
    <s v="PT AREXAS"/>
    <n v="84"/>
    <n v="281"/>
    <s v="Done Inspect"/>
    <x v="0"/>
    <m/>
    <m/>
    <m/>
    <m/>
  </r>
  <r>
    <m/>
    <s v="BM-BIN-ST-SJ-0078"/>
    <s v="STAND JACK"/>
    <n v="30"/>
    <s v="Interport"/>
    <d v="2026-07-08T00:00:00"/>
    <m/>
    <d v="2027-07-08T00:00:00"/>
    <s v="PT AREXAS"/>
    <n v="84"/>
    <n v="281"/>
    <s v="Done Inspect"/>
    <x v="0"/>
    <m/>
    <m/>
    <m/>
    <m/>
  </r>
  <r>
    <m/>
    <s v="BM-BIN-ST-SJ-0096"/>
    <s v="STAND JACK"/>
    <n v="20"/>
    <s v="Interport"/>
    <d v="2026-07-08T00:00:00"/>
    <m/>
    <d v="2027-07-08T00:00:00"/>
    <s v="PT AREXAS"/>
    <n v="84"/>
    <n v="281"/>
    <s v="Done Inspect"/>
    <x v="0"/>
    <m/>
    <m/>
    <m/>
    <m/>
  </r>
  <r>
    <m/>
    <s v="BM-BIN-ST-SJ-0107"/>
    <s v="STAND JACK"/>
    <n v="30"/>
    <s v="Interport"/>
    <d v="2026-07-08T00:00:00"/>
    <m/>
    <d v="2027-07-08T00:00:00"/>
    <s v="PT AREXAS"/>
    <n v="84"/>
    <n v="281"/>
    <s v="Done Inspect"/>
    <x v="0"/>
    <m/>
    <m/>
    <m/>
    <m/>
  </r>
  <r>
    <m/>
    <s v="BM-BIN-ST-SJ-0123"/>
    <s v="STAND JACK"/>
    <n v="10"/>
    <s v="Interport"/>
    <d v="2026-07-08T00:00:00"/>
    <m/>
    <d v="2027-07-08T00:00:00"/>
    <s v="PT AREXAS"/>
    <n v="84"/>
    <n v="281"/>
    <s v="Done Inspect"/>
    <x v="0"/>
    <m/>
    <m/>
    <m/>
    <m/>
  </r>
  <r>
    <m/>
    <s v="BM-BIN-ST-SJ-0139"/>
    <s v="STAND JACK"/>
    <n v="30"/>
    <s v="Interport"/>
    <d v="2026-07-08T00:00:00"/>
    <m/>
    <d v="2027-07-08T00:00:00"/>
    <s v="PT AREXAS"/>
    <n v="84"/>
    <n v="281"/>
    <s v="Done Inspect"/>
    <x v="0"/>
    <m/>
    <m/>
    <m/>
    <m/>
  </r>
  <r>
    <m/>
    <s v="BM-BIN-ST-SJ-074"/>
    <s v="STAND JACK"/>
    <n v="30"/>
    <s v="Interport"/>
    <d v="2026-07-08T00:00:00"/>
    <m/>
    <d v="2027-07-08T00:00:00"/>
    <s v="PT AREXAS"/>
    <n v="84"/>
    <n v="281"/>
    <s v="Done Inspect"/>
    <x v="0"/>
    <m/>
    <m/>
    <m/>
    <m/>
  </r>
  <r>
    <m/>
    <s v="BM-BIN-ST-SJ-083"/>
    <s v="STAND JACK"/>
    <n v="45"/>
    <s v="Interport"/>
    <d v="2026-07-08T00:00:00"/>
    <m/>
    <d v="2027-07-08T00:00:00"/>
    <s v="PT AREXAS"/>
    <n v="84"/>
    <n v="281"/>
    <s v="Done Inspect"/>
    <x v="0"/>
    <m/>
    <m/>
    <m/>
    <m/>
  </r>
  <r>
    <m/>
    <s v="BM-BIN-ST-SJ-084"/>
    <s v="STAND JACK"/>
    <n v="50"/>
    <s v="Interport"/>
    <d v="2026-07-08T00:00:00"/>
    <m/>
    <d v="2027-07-08T00:00:00"/>
    <s v="PT AREXAS"/>
    <n v="84"/>
    <n v="281"/>
    <s v="Done Inspect"/>
    <x v="0"/>
    <m/>
    <m/>
    <m/>
    <m/>
  </r>
  <r>
    <m/>
    <s v="BM-ND-10"/>
    <s v="STAND JACK"/>
    <n v="30"/>
    <s v="Interport"/>
    <d v="2026-07-08T00:00:00"/>
    <m/>
    <d v="2027-07-08T00:00:00"/>
    <s v="PT AREXAS"/>
    <n v="84"/>
    <n v="281"/>
    <s v="Done Inspect"/>
    <x v="0"/>
    <m/>
    <m/>
    <m/>
    <m/>
  </r>
  <r>
    <m/>
    <s v="BM-M0-03"/>
    <s v="STAND JACK"/>
    <n v="30"/>
    <s v="Interport"/>
    <d v="2026-07-08T00:00:00"/>
    <m/>
    <d v="2027-07-08T00:00:00"/>
    <s v="PT AREXAS"/>
    <n v="84"/>
    <n v="281"/>
    <s v="Done Inspect"/>
    <x v="0"/>
    <m/>
    <m/>
    <m/>
    <m/>
  </r>
  <r>
    <m/>
    <s v="BM-JS-30T-02"/>
    <s v="STAND JACK"/>
    <n v="30"/>
    <s v="Interport"/>
    <d v="2026-07-08T00:00:00"/>
    <m/>
    <d v="2027-07-08T00:00:00"/>
    <s v="PT AREXAS"/>
    <n v="84"/>
    <n v="281"/>
    <s v="Done Inspect"/>
    <x v="0"/>
    <m/>
    <m/>
    <m/>
    <m/>
  </r>
  <r>
    <m/>
    <s v="BM-ND03"/>
    <s v="STAND JACK"/>
    <n v="20"/>
    <s v="Interport"/>
    <d v="2026-09-30T00:00:00"/>
    <m/>
    <d v="2027-09-30T00:00:00"/>
    <s v="PT AREXAS"/>
    <n v="0"/>
    <n v="365"/>
    <s v="Done Inspect"/>
    <x v="0"/>
    <s v="GOOD"/>
    <m/>
    <m/>
    <n v="4010392940"/>
  </r>
  <r>
    <m/>
    <s v="BM-ND05"/>
    <s v="STAND JACK"/>
    <n v="20"/>
    <s v="Interport"/>
    <d v="2026-09-30T00:00:00"/>
    <m/>
    <d v="2027-09-30T00:00:00"/>
    <s v="PT AREXAS"/>
    <n v="0"/>
    <n v="365"/>
    <s v="Done Inspect"/>
    <x v="0"/>
    <s v="GOOD"/>
    <m/>
    <m/>
    <n v="4010392940"/>
  </r>
  <r>
    <m/>
    <s v="BM-OP02"/>
    <s v="STAND JACK"/>
    <n v="20"/>
    <s v="Interport"/>
    <d v="2026-09-30T00:00:00"/>
    <m/>
    <d v="2027-09-30T00:00:00"/>
    <s v="PT AREXAS"/>
    <n v="0"/>
    <n v="365"/>
    <s v="Done Inspect"/>
    <x v="0"/>
    <s v="GOOD"/>
    <m/>
    <m/>
    <n v="4010392940"/>
  </r>
  <r>
    <m/>
    <s v="BM-M006"/>
    <s v="STAND JACK"/>
    <n v="20"/>
    <s v="Interport"/>
    <d v="2026-09-30T00:00:00"/>
    <m/>
    <d v="2027-09-30T00:00:00"/>
    <s v="PT AREXAS"/>
    <n v="0"/>
    <n v="365"/>
    <s v="Done Inspect"/>
    <x v="0"/>
    <s v="GOOD"/>
    <m/>
    <m/>
    <n v="4010392940"/>
  </r>
  <r>
    <m/>
    <s v="BMJ08G"/>
    <s v="STAND JACK"/>
    <n v="20"/>
    <s v="Interport"/>
    <d v="2026-09-30T00:00:00"/>
    <m/>
    <d v="2027-09-30T00:00:00"/>
    <s v="PT AREXAS"/>
    <n v="0"/>
    <n v="365"/>
    <s v="Done Inspect"/>
    <x v="0"/>
    <s v="GOOD"/>
    <m/>
    <m/>
    <n v="4010392940"/>
  </r>
  <r>
    <m/>
    <s v="BMJ08H"/>
    <s v="STAND JACK"/>
    <n v="20"/>
    <s v="Interport"/>
    <d v="2026-09-30T00:00:00"/>
    <m/>
    <d v="2027-09-30T00:00:00"/>
    <s v="PT AREXAS"/>
    <n v="0"/>
    <n v="365"/>
    <s v="Done Inspect"/>
    <x v="0"/>
    <s v="GOOD"/>
    <m/>
    <m/>
    <n v="4010392940"/>
  </r>
  <r>
    <m/>
    <s v="BM-ND06"/>
    <s v="STAND JACK"/>
    <n v="20"/>
    <s v="Interport"/>
    <d v="2026-09-30T00:00:00"/>
    <m/>
    <d v="2027-09-30T00:00:00"/>
    <s v="PT AREXAS"/>
    <n v="0"/>
    <n v="365"/>
    <s v="Done Inspect"/>
    <x v="0"/>
    <s v="GOOD"/>
    <m/>
    <m/>
    <n v="4010392940"/>
  </r>
  <r>
    <m/>
    <s v="BM-M005"/>
    <s v="STAND JACK"/>
    <n v="20"/>
    <s v="Interport"/>
    <d v="2026-09-30T00:00:00"/>
    <m/>
    <d v="2027-09-30T00:00:00"/>
    <s v="PT AREXAS"/>
    <n v="0"/>
    <n v="365"/>
    <s v="Done Inspect"/>
    <x v="0"/>
    <s v="GOOD"/>
    <m/>
    <m/>
    <n v="4010392940"/>
  </r>
  <r>
    <m/>
    <s v="BM-ND09"/>
    <s v="STAND JACK"/>
    <n v="30"/>
    <s v="Interport"/>
    <d v="2026-09-30T00:00:00"/>
    <m/>
    <d v="2027-09-30T00:00:00"/>
    <s v="PT AREXAS"/>
    <n v="0"/>
    <n v="365"/>
    <s v="Done Inspect"/>
    <x v="0"/>
    <s v="GOOD"/>
    <m/>
    <m/>
    <n v="4010392940"/>
  </r>
  <r>
    <m/>
    <s v="BM-ND11"/>
    <s v="STAND JACK"/>
    <n v="30"/>
    <s v="Interport"/>
    <d v="2026-09-30T00:00:00"/>
    <m/>
    <d v="2027-09-30T00:00:00"/>
    <s v="PT AREXAS"/>
    <n v="0"/>
    <n v="365"/>
    <s v="Done Inspect"/>
    <x v="0"/>
    <s v="GOOD"/>
    <m/>
    <m/>
    <n v="4010392940"/>
  </r>
  <r>
    <m/>
    <s v="BM-SV-01"/>
    <s v="STAND JACK"/>
    <n v="15"/>
    <s v="Interport"/>
    <d v="2026-09-30T00:00:00"/>
    <m/>
    <d v="2027-09-30T00:00:00"/>
    <s v="PT AREXAS"/>
    <n v="0"/>
    <n v="365"/>
    <s v="Done Inspect"/>
    <x v="0"/>
    <s v="GOOD"/>
    <m/>
    <m/>
    <n v="4010392940"/>
  </r>
  <r>
    <m/>
    <s v="JS-30T-01"/>
    <s v="STAND JACK"/>
    <n v="30"/>
    <s v="Interport"/>
    <d v="2026-09-30T00:00:00"/>
    <m/>
    <d v="2027-09-30T00:00:00"/>
    <s v="PT AREXAS"/>
    <n v="0"/>
    <n v="365"/>
    <s v="Done Inspect"/>
    <x v="0"/>
    <s v="GOOD"/>
    <m/>
    <m/>
    <n v="4010392940"/>
  </r>
  <r>
    <m/>
    <s v="JS-30T-03"/>
    <s v="STAND JACK"/>
    <n v="30"/>
    <s v="Interport"/>
    <d v="2026-09-30T00:00:00"/>
    <m/>
    <d v="2027-09-30T00:00:00"/>
    <s v="PT AREXAS"/>
    <n v="0"/>
    <n v="365"/>
    <s v="Done Inspect"/>
    <x v="0"/>
    <s v="GOOD"/>
    <m/>
    <m/>
    <n v="4010392940"/>
  </r>
  <r>
    <m/>
    <s v="BRC-ST-02"/>
    <s v="STAND JACK"/>
    <n v="20"/>
    <s v="Interport"/>
    <d v="2026-09-30T00:00:00"/>
    <m/>
    <d v="2027-09-30T00:00:00"/>
    <s v="PT AREXAS"/>
    <n v="0"/>
    <n v="365"/>
    <s v="Done Inspect"/>
    <x v="0"/>
    <s v="GOOD"/>
    <m/>
    <s v="Additional"/>
    <n v="4010392940"/>
  </r>
  <r>
    <m/>
    <s v="BRC-ST-05"/>
    <s v="STAND JACK"/>
    <n v="20"/>
    <s v="Interport"/>
    <d v="2026-09-30T00:00:00"/>
    <m/>
    <d v="2027-09-30T00:00:00"/>
    <s v="PT AREXAS"/>
    <n v="0"/>
    <n v="365"/>
    <s v="Done Inspect"/>
    <x v="0"/>
    <s v="GOOD"/>
    <m/>
    <s v="Additional"/>
    <n v="4010392940"/>
  </r>
  <r>
    <m/>
    <s v="BRC-ST-06"/>
    <s v="STAND JACK"/>
    <n v="20"/>
    <s v="Interport"/>
    <d v="2026-09-30T00:00:00"/>
    <m/>
    <d v="2027-09-30T00:00:00"/>
    <s v="PT AREXAS"/>
    <n v="0"/>
    <n v="365"/>
    <s v="Done Inspect"/>
    <x v="0"/>
    <s v="GOOD"/>
    <m/>
    <s v="Additional"/>
    <n v="4010392940"/>
  </r>
  <r>
    <m/>
    <s v="BRC-ST-07"/>
    <s v="STAND JACK"/>
    <n v="20"/>
    <s v="Interport"/>
    <d v="2026-09-30T00:00:00"/>
    <m/>
    <d v="2027-09-30T00:00:00"/>
    <s v="PT AREXAS"/>
    <n v="0"/>
    <n v="365"/>
    <s v="Done Inspect"/>
    <x v="0"/>
    <s v="GOOD"/>
    <m/>
    <s v="Additional"/>
    <n v="4010392940"/>
  </r>
  <r>
    <m/>
    <s v="BRC-ST-08"/>
    <s v="STAND JACK"/>
    <n v="20"/>
    <s v="Interport"/>
    <d v="2026-09-30T00:00:00"/>
    <m/>
    <d v="2027-09-30T00:00:00"/>
    <s v="PT AREXAS"/>
    <n v="0"/>
    <n v="365"/>
    <s v="Done Inspect"/>
    <x v="0"/>
    <s v="GOOD"/>
    <m/>
    <s v="Additional"/>
    <n v="4010392940"/>
  </r>
  <r>
    <m/>
    <s v="BRC-ST-09"/>
    <s v="STAND JACK"/>
    <n v="20"/>
    <s v="Interport"/>
    <d v="2026-09-30T00:00:00"/>
    <m/>
    <d v="2027-09-30T00:00:00"/>
    <s v="PT AREXAS"/>
    <n v="0"/>
    <n v="365"/>
    <s v="Done Inspect"/>
    <x v="0"/>
    <s v="GOOD"/>
    <m/>
    <s v="Additional"/>
    <n v="4010392940"/>
  </r>
  <r>
    <m/>
    <s v="BRC-ST-12"/>
    <s v="STAND JACK"/>
    <n v="20"/>
    <s v="Interport"/>
    <d v="2026-09-30T00:00:00"/>
    <m/>
    <d v="2027-09-30T00:00:00"/>
    <s v="PT AREXAS"/>
    <n v="0"/>
    <n v="365"/>
    <s v="Done Inspect"/>
    <x v="0"/>
    <s v="GOOD"/>
    <m/>
    <s v="Additional"/>
    <n v="4010392940"/>
  </r>
  <r>
    <m/>
    <s v="BRC-ST-13"/>
    <s v="STAND JACK"/>
    <n v="20"/>
    <s v="Interport"/>
    <d v="2026-09-30T00:00:00"/>
    <m/>
    <d v="2027-09-30T00:00:00"/>
    <s v="PT AREXAS"/>
    <n v="0"/>
    <n v="365"/>
    <s v="Done Inspect"/>
    <x v="0"/>
    <s v="GOOD"/>
    <m/>
    <s v="Additional"/>
    <n v="4010392940"/>
  </r>
  <r>
    <m/>
    <s v="BRC-ST-14"/>
    <s v="STAND JACK"/>
    <n v="60"/>
    <s v="Interport"/>
    <d v="2026-09-30T00:00:00"/>
    <m/>
    <d v="2027-09-30T00:00:00"/>
    <s v="PT AREXAS"/>
    <n v="0"/>
    <n v="365"/>
    <s v="Done Inspect"/>
    <x v="0"/>
    <s v="GOOD"/>
    <m/>
    <s v="Additional"/>
    <n v="4010392940"/>
  </r>
  <r>
    <m/>
    <m/>
    <m/>
    <m/>
    <m/>
    <m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5B8C5-B3BE-40C5-AE7E-FAD31B52C202}" name="PivotTable3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S1:T4" firstHeaderRow="1" firstDataRow="1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m="1" x="4"/>
        <item m="1" x="3"/>
        <item x="1"/>
        <item h="1" x="2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3">
    <i>
      <x/>
    </i>
    <i>
      <x v="3"/>
    </i>
    <i t="grand">
      <x/>
    </i>
  </rowItems>
  <colItems count="1">
    <i/>
  </colItems>
  <dataFields count="1">
    <dataField name="Count of Item no. / Asset No.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8406B-AA63-4DF1-A409-F11889C6BD63}" name="PivotTable1" cacheId="2" applyNumberFormats="0" applyBorderFormats="0" applyFontFormats="0" applyPatternFormats="0" applyAlignmentFormats="0" applyWidthHeightFormats="1" dataCaption="Values" grandTotalCaption="TOTAL ASET" updatedVersion="8" minRefreshableVersion="3" useAutoFormatting="1" itemPrintTitles="1" createdVersion="8" indent="0" outline="1" outlineData="1" multipleFieldFilters="0" chartFormat="23" rowHeaderCaption="STATUS SERTIFIKASI">
  <location ref="A9:B12" firstHeaderRow="1" firstDataRow="1" firstDataCol="1"/>
  <pivotFields count="13"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h="1"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Qty" fld="5" subtotal="count" baseField="0" baseItem="0"/>
  </dataFields>
  <formats count="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5" type="button" dataOnly="0" labelOnly="1" outline="0" axis="axisRow" fieldPosition="0"/>
    </format>
    <format dxfId="45">
      <pivotArea dataOnly="0" labelOnly="1" fieldPosition="0">
        <references count="1">
          <reference field="5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7C5A1-76DF-4AF3-ACC4-751D87C1644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9:E10" firstHeaderRow="1" firstDataRow="1" firstDataCol="0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KODE ASE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28E68-3FA2-4B62-9C2C-C9E65DE1678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B35" firstHeaderRow="1" firstDataRow="1" firstDataCol="1"/>
  <pivotFields count="1">
    <pivotField axis="axisRow" dataField="1" showAll="0" sortType="descending">
      <items count="37">
        <item x="19"/>
        <item x="14"/>
        <item x="28"/>
        <item x="24"/>
        <item x="26"/>
        <item x="27"/>
        <item x="21"/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m="1" x="33"/>
        <item x="15"/>
        <item x="16"/>
        <item x="17"/>
        <item x="18"/>
        <item x="20"/>
        <item x="22"/>
        <item x="23"/>
        <item m="1" x="34"/>
        <item m="1" x="35"/>
        <item x="29"/>
        <item x="30"/>
        <item x="31"/>
        <item x="32"/>
        <item h="1"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2">
    <i>
      <x v="17"/>
    </i>
    <i>
      <x v="3"/>
    </i>
    <i>
      <x v="2"/>
    </i>
    <i>
      <x v="16"/>
    </i>
    <i>
      <x v="19"/>
    </i>
    <i>
      <x v="20"/>
    </i>
    <i>
      <x v="4"/>
    </i>
    <i>
      <x v="12"/>
    </i>
    <i>
      <x v="31"/>
    </i>
    <i>
      <x/>
    </i>
    <i>
      <x v="1"/>
    </i>
    <i>
      <x v="24"/>
    </i>
    <i>
      <x v="8"/>
    </i>
    <i>
      <x v="5"/>
    </i>
    <i>
      <x v="18"/>
    </i>
    <i>
      <x v="9"/>
    </i>
    <i>
      <x v="33"/>
    </i>
    <i>
      <x v="32"/>
    </i>
    <i>
      <x v="11"/>
    </i>
    <i>
      <x v="6"/>
    </i>
    <i>
      <x v="14"/>
    </i>
    <i>
      <x v="13"/>
    </i>
    <i>
      <x v="28"/>
    </i>
    <i>
      <x v="34"/>
    </i>
    <i>
      <x v="10"/>
    </i>
    <i>
      <x v="15"/>
    </i>
    <i>
      <x v="25"/>
    </i>
    <i>
      <x v="22"/>
    </i>
    <i>
      <x v="26"/>
    </i>
    <i>
      <x v="23"/>
    </i>
    <i>
      <x v="27"/>
    </i>
    <i t="grand">
      <x/>
    </i>
  </rowItems>
  <colItems count="1">
    <i/>
  </colItems>
  <dataFields count="1">
    <dataField name="Qt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5C1A2-2267-4F45-BFD4-CBEF1D8E545E}" name="SERTIFIKASI_ALAT" displayName="SERTIFIKASI_ALAT" ref="A1:P231" totalsRowShown="0" headerRowDxfId="67" dataDxfId="66" tableBorderDxfId="65">
  <autoFilter ref="A1:P231" xr:uid="{A935C1A2-2267-4F45-BFD4-CBEF1D8E545E}">
    <filterColumn colId="2">
      <filters>
        <filter val="HAND PALLET"/>
        <filter val="HAND PALLET ELECTRIC"/>
      </filters>
    </filterColumn>
  </autoFilter>
  <sortState xmlns:xlrd2="http://schemas.microsoft.com/office/spreadsheetml/2017/richdata2" ref="A2:P231">
    <sortCondition ref="G1:G231"/>
  </sortState>
  <tableColumns count="16">
    <tableColumn id="1" xr3:uid="{7851E98C-B8C1-4C54-9921-6DCED1F39F0B}" name="NO " dataDxfId="64"/>
    <tableColumn id="2" xr3:uid="{8D7C8DFF-3AA2-49D3-A066-26F1D2BDE8F5}" name="KODE ASET" dataDxfId="63"/>
    <tableColumn id="3" xr3:uid="{861F0CE6-5EBF-41CC-8E0D-919632B5D0A9}" name="DESCRIPTION" dataDxfId="62"/>
    <tableColumn id="16" xr3:uid="{E77E307B-96F8-4CB6-A8DB-9CB545E66234}" name="CATEGORY" dataDxfId="61"/>
    <tableColumn id="4" xr3:uid="{6947CA2D-8594-4695-ABF7-20C1A0AD4B70}" name="SWL (TON)" dataDxfId="60"/>
    <tableColumn id="5" xr3:uid="{72FF0735-2B05-4549-99F8-5BE9865BE8A9}" name="SIZE / KAPASITAS" dataDxfId="59"/>
    <tableColumn id="6" xr3:uid="{D9C7B75C-AF0F-404A-B2AE-6573FF5EB10B}" name="MASA BERLAKU" dataDxfId="58"/>
    <tableColumn id="7" xr3:uid="{EFA29A1F-78AF-4680-8191-A9EC6D1B621F}" name="STATUS" dataDxfId="57"/>
    <tableColumn id="8" xr3:uid="{89FBCD73-ABDA-4D92-9C70-4D4B1C15A8EF}" name="LAST INSPECTION" dataDxfId="56"/>
    <tableColumn id="9" xr3:uid="{028404DF-FA46-4621-AC02-164D238C62CA}" name="RENCANA PEMERIKSAAN" dataDxfId="55"/>
    <tableColumn id="10" xr3:uid="{FBAF9464-6B26-4AAE-AC6B-97B202086688}" name="LAST PR" dataDxfId="54"/>
    <tableColumn id="11" xr3:uid="{809AE87C-0076-433E-A865-6AAC2B6D5846}" name="LAST PO" dataDxfId="53"/>
    <tableColumn id="12" xr3:uid="{720D2F6B-456F-47BE-9767-8E2BA9992069}" name="LOKASI" dataDxfId="52"/>
    <tableColumn id="13" xr3:uid="{AD86A714-8710-4282-8FCF-DA362BAF680D}" name="BRAND" dataDxfId="51"/>
    <tableColumn id="14" xr3:uid="{4572EDB2-4DEA-437F-BB3F-262C5E6F237D}" name="REMARK" dataDxfId="50"/>
    <tableColumn id="15" xr3:uid="{35945507-7E19-404E-87FB-7F498680E1FD}" name="LINK  PDF" dataDxfId="4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file:///C:\Users\m.musyafa\AppData\Roaming\Microsoft\Excel\LAMPIRAN%20PDF\Stand%20Jack%20BRC%20-%20ST%20-%20004.pdf" TargetMode="External"/><Relationship Id="rId18" Type="http://schemas.openxmlformats.org/officeDocument/2006/relationships/hyperlink" Target="file:///C:\Users\m.musyafa\AppData\Roaming\Microsoft\Excel\LAMPIRAN%20PDF\Stand%20Jack%20BRC%20-%20ST%20-%20007.pdf" TargetMode="External"/><Relationship Id="rId26" Type="http://schemas.openxmlformats.org/officeDocument/2006/relationships/hyperlink" Target="file:///C:\Users\m.musyafa\AppData\Roaming\Microsoft\Excel\LAMPIRAN%20PDF\Stand%20Jack%20BRC%20-%20ST%20-%2014.pdf" TargetMode="External"/><Relationship Id="rId39" Type="http://schemas.openxmlformats.org/officeDocument/2006/relationships/hyperlink" Target="file:///C:\Users\m.musyafa\AppData\Roaming\Microsoft\Excel\LAMPIRAN%20PDF\Table%20Work%20BRC%20-%20TW%20-%2002.pdf" TargetMode="External"/><Relationship Id="rId21" Type="http://schemas.openxmlformats.org/officeDocument/2006/relationships/hyperlink" Target="file:///C:\Users\m.musyafa\AppData\Roaming\Microsoft\Excel\LAMPIRAN%20PDF\Stand%20Jack%20BRC%20-%20ST%20-%2008.pdf" TargetMode="External"/><Relationship Id="rId34" Type="http://schemas.openxmlformats.org/officeDocument/2006/relationships/hyperlink" Target="file:///C:\Users\m.musyafa\AppData\Roaming\Microsoft\Excel\LAMPIRAN%20PDF\Stand%20Transmission%20BRC%20-%20STR%20-%2005.pdf" TargetMode="External"/><Relationship Id="rId42" Type="http://schemas.openxmlformats.org/officeDocument/2006/relationships/hyperlink" Target="file:///C:\Users\m.musyafa\AppData\Roaming\Microsoft\Excel\LAMPIRAN%20PDF\Wall%20Travelling%20Jib%20Crane%207703.pdf" TargetMode="External"/><Relationship Id="rId47" Type="http://schemas.openxmlformats.org/officeDocument/2006/relationships/hyperlink" Target="file:///C:\Users\m.musyafa\AppData\Roaming\Microsoft\Excel\LAMPIRAN%20PDF\Electric%20Stacker%20BM%20-%20ES%20-%2001.pdf" TargetMode="External"/><Relationship Id="rId50" Type="http://schemas.openxmlformats.org/officeDocument/2006/relationships/hyperlink" Target="file:///C:\Users\m.musyafa\AppData\Roaming\Microsoft\Excel\LAMPIRAN%20PDF\Rollover%20Stand%20BRC%20-%20ROSD%20-%2001%20(%20Calculation%20).pdf" TargetMode="External"/><Relationship Id="rId7" Type="http://schemas.openxmlformats.org/officeDocument/2006/relationships/hyperlink" Target="file:///C:\Users\m.musyafa\AppData\Roaming\Microsoft\Excel\LAMPIRAN%20PDF\Jack%20Press%20BRC%20-%20JP%20-%2003.pdf" TargetMode="External"/><Relationship Id="rId2" Type="http://schemas.openxmlformats.org/officeDocument/2006/relationships/hyperlink" Target="file:///C:\Users\m.musyafa\AppData\Roaming\Microsoft\Excel\LAMPIRAN%20PDF\Forklift%20FLPT%2030033.pdf" TargetMode="External"/><Relationship Id="rId16" Type="http://schemas.openxmlformats.org/officeDocument/2006/relationships/hyperlink" Target="file:///C:\Users\m.musyafa\AppData\Roaming\Microsoft\Excel\LAMPIRAN%20PDF\Stand%20Jack%20BRC%20-%20ST%20-%20006.pdf" TargetMode="External"/><Relationship Id="rId29" Type="http://schemas.openxmlformats.org/officeDocument/2006/relationships/hyperlink" Target="file:///C:\Users\m.musyafa\AppData\Roaming\Microsoft\Excel\LAMPIRAN%20PDF\Extension%20Forklift%20BRC%20-%20ETF%20-%20002.pdf" TargetMode="External"/><Relationship Id="rId11" Type="http://schemas.openxmlformats.org/officeDocument/2006/relationships/hyperlink" Target="file:///C:\Users\m.musyafa\AppData\Roaming\Microsoft\Excel\LAMPIRAN%20PDF\Stand%20Jack%20BRC%20-%20ST%20-%2001.pdf" TargetMode="External"/><Relationship Id="rId24" Type="http://schemas.openxmlformats.org/officeDocument/2006/relationships/hyperlink" Target="file:///C:\Users\m.musyafa\AppData\Roaming\Microsoft\Excel\LAMPIRAN%20PDF\Stand%20Jack%20BRC%20-%20ST%20-%2012.pdf" TargetMode="External"/><Relationship Id="rId32" Type="http://schemas.openxmlformats.org/officeDocument/2006/relationships/hyperlink" Target="file:///C:\Users\m.musyafa\AppData\Roaming\Microsoft\Excel\LAMPIRAN%20PDF\Stand%20Transmission%20BRC%20-%20STR%20-%2003.pdf" TargetMode="External"/><Relationship Id="rId37" Type="http://schemas.openxmlformats.org/officeDocument/2006/relationships/hyperlink" Target="file:///C:\Users\m.musyafa\AppData\Roaming\Microsoft\Excel\LAMPIRAN%20PDF\Stand%20Transmission%20BRC%20-%20STR%20-%2008.pdf" TargetMode="External"/><Relationship Id="rId40" Type="http://schemas.openxmlformats.org/officeDocument/2006/relationships/hyperlink" Target="file:///C:\Users\m.musyafa\AppData\Roaming\Microsoft\Excel\LAMPIRAN%20PDF\Table%20Work%20BRC%20-%20TW%20-%2003.pdf" TargetMode="External"/><Relationship Id="rId45" Type="http://schemas.openxmlformats.org/officeDocument/2006/relationships/hyperlink" Target="file:///C:\Users\m.musyafa\AppData\Roaming\Microsoft\Excel\LAMPIRAN%20PDF\Wall%20Travelling%20Jib%20Crane%207706.pdf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file:///C:\Users\m.musyafa\AppData\Roaming\Microsoft\Excel\LAMPIRAN%20PDF\Hand%20Pallet%20BRC%20-%20HP%20-%2002.pdf" TargetMode="External"/><Relationship Id="rId10" Type="http://schemas.openxmlformats.org/officeDocument/2006/relationships/hyperlink" Target="file:///C:\Users\m.musyafa\AppData\Roaming\Microsoft\Excel\LAMPIRAN%20PDF\Stand%20Assembly%20BRC%20-%20SA%2002.pdf" TargetMode="External"/><Relationship Id="rId19" Type="http://schemas.openxmlformats.org/officeDocument/2006/relationships/hyperlink" Target="file:///C:\Users\m.musyafa\AppData\Roaming\Microsoft\Excel\LAMPIRAN%20PDF\Stand%20Jack%20BRC%20-%20ST%20-%2007.pdf" TargetMode="External"/><Relationship Id="rId31" Type="http://schemas.openxmlformats.org/officeDocument/2006/relationships/hyperlink" Target="file:///C:\Users\m.musyafa\AppData\Roaming\Microsoft\Excel\LAMPIRAN%20PDF\Stand%20Transmission%20BRC%20-%20STR%20-%2002.pdf" TargetMode="External"/><Relationship Id="rId44" Type="http://schemas.openxmlformats.org/officeDocument/2006/relationships/hyperlink" Target="file:///C:\Users\m.musyafa\AppData\Roaming\Microsoft\Excel\LAMPIRAN%20PDF\Wall%20Travelling%20Jib%20Crane%207705.pdf" TargetMode="External"/><Relationship Id="rId52" Type="http://schemas.openxmlformats.org/officeDocument/2006/relationships/hyperlink" Target="file:///C:\Users\m.musyafa\AppData\Roaming\Microsoft\Excel\LAMPIRAN%20PDF\Stand%20Jack%20BRC%20-%20ST%20-%20008.pdf" TargetMode="External"/><Relationship Id="rId4" Type="http://schemas.openxmlformats.org/officeDocument/2006/relationships/hyperlink" Target="file:///C:\Users\m.musyafa\AppData\Roaming\Microsoft\Excel\LAMPIRAN%20PDF\Gantry%20Crane%20BM%20-%20MH%20-%2001.pdf" TargetMode="External"/><Relationship Id="rId9" Type="http://schemas.openxmlformats.org/officeDocument/2006/relationships/hyperlink" Target="file:///C:\Users\m.musyafa\AppData\Roaming\Microsoft\Excel\LAMPIRAN%20PDF\Overhead%20Crane%207708.pdf" TargetMode="External"/><Relationship Id="rId14" Type="http://schemas.openxmlformats.org/officeDocument/2006/relationships/hyperlink" Target="file:///C:\Users\m.musyafa\AppData\Roaming\Microsoft\Excel\LAMPIRAN%20PDF\Stand%20Jack%20BRC%20-%20ST%20-%20005.pdf" TargetMode="External"/><Relationship Id="rId22" Type="http://schemas.openxmlformats.org/officeDocument/2006/relationships/hyperlink" Target="file:///C:\Users\m.musyafa\AppData\Roaming\Microsoft\Excel\LAMPIRAN%20PDF\Stand%20Jack%20BRC%20-%20ST%20-%2009.pdf" TargetMode="External"/><Relationship Id="rId27" Type="http://schemas.openxmlformats.org/officeDocument/2006/relationships/hyperlink" Target="file:///C:\Users\m.musyafa\AppData\Roaming\Microsoft\Excel\LAMPIRAN%20PDF\Stand%20Jack%20BRC%20-%20ST%20-%2015.pdf" TargetMode="External"/><Relationship Id="rId30" Type="http://schemas.openxmlformats.org/officeDocument/2006/relationships/hyperlink" Target="file:///C:\Users\m.musyafa\AppData\Roaming\Microsoft\Excel\LAMPIRAN%20PDF\Stand%20Transmission%20BRC%20-%20STR%20-%2001.pdf" TargetMode="External"/><Relationship Id="rId35" Type="http://schemas.openxmlformats.org/officeDocument/2006/relationships/hyperlink" Target="file:///C:\Users\m.musyafa\AppData\Roaming\Microsoft\Excel\LAMPIRAN%20PDF\Stand%20Transmission%20BRC%20-%20STR%20-%2006.pdf" TargetMode="External"/><Relationship Id="rId43" Type="http://schemas.openxmlformats.org/officeDocument/2006/relationships/hyperlink" Target="file:///C:\Users\m.musyafa\AppData\Roaming\Microsoft\Excel\LAMPIRAN%20PDF\Wall%20Travelling%20Jib%20Crane%207702.pdf" TargetMode="External"/><Relationship Id="rId48" Type="http://schemas.openxmlformats.org/officeDocument/2006/relationships/hyperlink" Target="file:///C:\Users\m.musyafa\AppData\Roaming\Microsoft\Excel\LAMPIRAN%20PDF\Extend%20Forklif%20BRC%20-%20ETF%20-%20001.pdf" TargetMode="External"/><Relationship Id="rId8" Type="http://schemas.openxmlformats.org/officeDocument/2006/relationships/hyperlink" Target="file:///C:\Users\m.musyafa\AppData\Roaming\Microsoft\Excel\LAMPIRAN%20PDF\Man%20Lift%20BRC%20-%20SRL%20-%2001.pdf" TargetMode="External"/><Relationship Id="rId51" Type="http://schemas.openxmlformats.org/officeDocument/2006/relationships/hyperlink" Target="file:///C:\Users\m.musyafa\AppData\Roaming\Microsoft\Excel\LAMPIRAN%20PDF\Rollover%20Stand%20BRC%20-%20ROSD%20-%2002%20(%20Calculation%20).pdf" TargetMode="External"/><Relationship Id="rId3" Type="http://schemas.openxmlformats.org/officeDocument/2006/relationships/hyperlink" Target="file:///C:\Users\m.musyafa\AppData\Roaming\Microsoft\Excel\LAMPIRAN%20PDF\Forklift%20FLPT%2050008.pdf" TargetMode="External"/><Relationship Id="rId12" Type="http://schemas.openxmlformats.org/officeDocument/2006/relationships/hyperlink" Target="file:///C:\Users\m.musyafa\AppData\Roaming\Microsoft\Excel\LAMPIRAN%20PDF\Stand%20Jack%20BRC%20-%20ST%20-%2002.pdf" TargetMode="External"/><Relationship Id="rId17" Type="http://schemas.openxmlformats.org/officeDocument/2006/relationships/hyperlink" Target="file:///C:\Users\m.musyafa\AppData\Roaming\Microsoft\Excel\LAMPIRAN%20PDF\Stand%20Jack%20BRC%20-%20ST%20-%2006.pdf" TargetMode="External"/><Relationship Id="rId25" Type="http://schemas.openxmlformats.org/officeDocument/2006/relationships/hyperlink" Target="file:///C:\Users\m.musyafa\AppData\Roaming\Microsoft\Excel\LAMPIRAN%20PDF\Stand%20Jack%20BRC%20-%20ST%20-%2013.pdf" TargetMode="External"/><Relationship Id="rId33" Type="http://schemas.openxmlformats.org/officeDocument/2006/relationships/hyperlink" Target="file:///C:\Users\m.musyafa\AppData\Roaming\Microsoft\Excel\LAMPIRAN%20PDF\Stand%20Transmission%20BRC%20-%20STR%20-%2004.pdf" TargetMode="External"/><Relationship Id="rId38" Type="http://schemas.openxmlformats.org/officeDocument/2006/relationships/hyperlink" Target="file:///C:\Users\m.musyafa\AppData\Roaming\Microsoft\Excel\LAMPIRAN%20PDF\Stand%20Transmission%20BRC%20-%20STR%20-%2009.pdf" TargetMode="External"/><Relationship Id="rId46" Type="http://schemas.openxmlformats.org/officeDocument/2006/relationships/hyperlink" Target="file:///C:\Users\m.musyafa\AppData\Roaming\Microsoft\Excel\LAMPIRAN%20PDF\Wall%20Travelling%20Jib%20Crane%207707.pdf" TargetMode="External"/><Relationship Id="rId20" Type="http://schemas.openxmlformats.org/officeDocument/2006/relationships/hyperlink" Target="file:///C:\Users\m.musyafa\AppData\Roaming\Microsoft\Excel\LAMPIRAN%20PDF\Stand%20Jack%20BRC%20-%20ST%20-%20008.pdf" TargetMode="External"/><Relationship Id="rId41" Type="http://schemas.openxmlformats.org/officeDocument/2006/relationships/hyperlink" Target="file:///C:\Users\m.musyafa\AppData\Roaming\Microsoft\Excel\LAMPIRAN%20PDF\Tool%20Jack%20&amp;%20Roll%20Over%20Stand%20Engine%20BRC%20-%20TJRO%20-%2002.pdf" TargetMode="External"/><Relationship Id="rId54" Type="http://schemas.openxmlformats.org/officeDocument/2006/relationships/table" Target="../tables/table1.xml"/><Relationship Id="rId1" Type="http://schemas.openxmlformats.org/officeDocument/2006/relationships/hyperlink" Target="file:///C:\Users\m.musyafa\AppData\Roaming\Microsoft\Excel\LAMPIRAN%20PDF\Forklift%20FLPT%2010001.pdf" TargetMode="External"/><Relationship Id="rId6" Type="http://schemas.openxmlformats.org/officeDocument/2006/relationships/hyperlink" Target="file:///C:\Users\m.musyafa\AppData\Roaming\Microsoft\Excel\LAMPIRAN%20PDF\Jack%20Press%20BRC%20-%20JP%20-%2002.pdf" TargetMode="External"/><Relationship Id="rId15" Type="http://schemas.openxmlformats.org/officeDocument/2006/relationships/hyperlink" Target="file:///C:\Users\m.musyafa\AppData\Roaming\Microsoft\Excel\LAMPIRAN%20PDF\Stand%20Jack%20BRC%20-%20ST%20-%2005.pdf" TargetMode="External"/><Relationship Id="rId23" Type="http://schemas.openxmlformats.org/officeDocument/2006/relationships/hyperlink" Target="file:///C:\Users\m.musyafa\AppData\Roaming\Microsoft\Excel\LAMPIRAN%20PDF\Stand%20Jack%20BRC%20-%20ST%20-%2010.pdf" TargetMode="External"/><Relationship Id="rId28" Type="http://schemas.openxmlformats.org/officeDocument/2006/relationships/hyperlink" Target="file:///C:\Users\m.musyafa\AppData\Roaming\Microsoft\Excel\LAMPIRAN%20PDF\Stand%20Jack%20BRC%20-%20ST%20-%2016.pdf" TargetMode="External"/><Relationship Id="rId36" Type="http://schemas.openxmlformats.org/officeDocument/2006/relationships/hyperlink" Target="file:///C:\Users\m.musyafa\AppData\Roaming\Microsoft\Excel\LAMPIRAN%20PDF\Stand%20Transmission%20BRC%20-%20STR%20-%2007.pdf" TargetMode="External"/><Relationship Id="rId49" Type="http://schemas.openxmlformats.org/officeDocument/2006/relationships/hyperlink" Target="file:///C:\Users\m.musyafa\AppData\Roaming\Microsoft\Excel\LAMPIRAN%20PDF\Forklift%20FLKM18001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file:///C:\Users\m.musyafa\AppData\Roaming\Microsoft\Excel\LAMPIRAN%20PDF\Stand%20Assembly%20BRC%20-%20SA%2002.pdf" TargetMode="External"/><Relationship Id="rId18" Type="http://schemas.openxmlformats.org/officeDocument/2006/relationships/hyperlink" Target="file:///C:\Users\m.musyafa\AppData\Roaming\Microsoft\Excel\LAMPIRAN%20PDF\Stand%20Jack%20BRC%20-%20ST%20-%2005.pdf" TargetMode="External"/><Relationship Id="rId26" Type="http://schemas.openxmlformats.org/officeDocument/2006/relationships/hyperlink" Target="file:///C:\Users\m.musyafa\AppData\Roaming\Microsoft\Excel\LAMPIRAN%20PDF\Stand%20Jack%20BRC%20-%20ST%20-%2010.pdf" TargetMode="External"/><Relationship Id="rId3" Type="http://schemas.openxmlformats.org/officeDocument/2006/relationships/hyperlink" Target="file:///C:\Users\m.musyafa\AppData\Roaming\Microsoft\Excel\LAMPIRAN%20PDF\Forklift%20FLPT%2050008.pdf" TargetMode="External"/><Relationship Id="rId21" Type="http://schemas.openxmlformats.org/officeDocument/2006/relationships/hyperlink" Target="file:///C:\Users\m.musyafa\AppData\Roaming\Microsoft\Excel\LAMPIRAN%20PDF\Stand%20Jack%20BRC%20-%20ST%20-%20007.pdf" TargetMode="External"/><Relationship Id="rId34" Type="http://schemas.openxmlformats.org/officeDocument/2006/relationships/printerSettings" Target="../printerSettings/printerSettings3.bin"/><Relationship Id="rId7" Type="http://schemas.openxmlformats.org/officeDocument/2006/relationships/hyperlink" Target="file:///C:\Users\m.musyafa\AppData\Roaming\Microsoft\Excel\LAMPIRAN%20PDF\Jack%20Press%20BRC%20-%20JP%20-%2003.pdf" TargetMode="External"/><Relationship Id="rId12" Type="http://schemas.openxmlformats.org/officeDocument/2006/relationships/hyperlink" Target="file:///C:\Users\m.musyafa\AppData\Roaming\Microsoft\Excel\LAMPIRAN%20PDF\Rollover%20Stand%20BRC%20-%20ROSD%20-%2002.pdf" TargetMode="External"/><Relationship Id="rId17" Type="http://schemas.openxmlformats.org/officeDocument/2006/relationships/hyperlink" Target="file:///C:\Users\m.musyafa\AppData\Roaming\Microsoft\Excel\LAMPIRAN%20PDF\Stand%20Jack%20BRC%20-%20ST%20-%20005.pdf" TargetMode="External"/><Relationship Id="rId25" Type="http://schemas.openxmlformats.org/officeDocument/2006/relationships/hyperlink" Target="file:///C:\Users\m.musyafa\AppData\Roaming\Microsoft\Excel\LAMPIRAN%20PDF\Stand%20Jack%20BRC%20-%20ST%20-%2009.pdf" TargetMode="External"/><Relationship Id="rId33" Type="http://schemas.openxmlformats.org/officeDocument/2006/relationships/hyperlink" Target="file:///C:\Users\m.musyafa\AppData\Roaming\Microsoft\Excel\LAMPIRAN%20PDF\Stand%20Jack%20BRC%20-%20ST%20-%2018.pdf" TargetMode="External"/><Relationship Id="rId2" Type="http://schemas.openxmlformats.org/officeDocument/2006/relationships/hyperlink" Target="file:///C:\Users\m.musyafa\AppData\Roaming\Microsoft\Excel\LAMPIRAN%20PDF\Forklift%20FLPT%2030033.pdf" TargetMode="External"/><Relationship Id="rId16" Type="http://schemas.openxmlformats.org/officeDocument/2006/relationships/hyperlink" Target="file:///C:\Users\m.musyafa\AppData\Roaming\Microsoft\Excel\LAMPIRAN%20PDF\Stand%20Jack%20BRC%20-%20ST%20-%20004.pdf" TargetMode="External"/><Relationship Id="rId20" Type="http://schemas.openxmlformats.org/officeDocument/2006/relationships/hyperlink" Target="file:///C:\Users\m.musyafa\AppData\Roaming\Microsoft\Excel\LAMPIRAN%20PDF\Stand%20Jack%20BRC%20-%20ST%20-%2006.pdf" TargetMode="External"/><Relationship Id="rId29" Type="http://schemas.openxmlformats.org/officeDocument/2006/relationships/hyperlink" Target="file:///C:\Users\m.musyafa\AppData\Roaming\Microsoft\Excel\LAMPIRAN%20PDF\Stand%20Jack%20BRC%20-%20ST%20-%2014.pdf" TargetMode="External"/><Relationship Id="rId1" Type="http://schemas.openxmlformats.org/officeDocument/2006/relationships/hyperlink" Target="file:///C:\Users\m.musyafa\AppData\Roaming\Microsoft\Excel\LAMPIRAN%20PDF\Forklift%20FLPT%2010001.pdf" TargetMode="External"/><Relationship Id="rId6" Type="http://schemas.openxmlformats.org/officeDocument/2006/relationships/hyperlink" Target="file:///C:\Users\m.musyafa\AppData\Roaming\Microsoft\Excel\LAMPIRAN%20PDF\Jack%20Press%20BRC%20-%20JP%20-%2002.pdf" TargetMode="External"/><Relationship Id="rId11" Type="http://schemas.openxmlformats.org/officeDocument/2006/relationships/hyperlink" Target="file:///C:\Users\m.musyafa\AppData\Roaming\Microsoft\Excel\LAMPIRAN%20PDF\Rollover%20Stand%20BRC%20-%20ROSD%20-%2001.pdf" TargetMode="External"/><Relationship Id="rId24" Type="http://schemas.openxmlformats.org/officeDocument/2006/relationships/hyperlink" Target="file:///C:\Users\m.musyafa\AppData\Roaming\Microsoft\Excel\LAMPIRAN%20PDF\Stand%20Jack%20BRC%20-%20ST%20-%2008.pdf" TargetMode="External"/><Relationship Id="rId32" Type="http://schemas.openxmlformats.org/officeDocument/2006/relationships/hyperlink" Target="file:///C:\Users\m.musyafa\AppData\Roaming\Microsoft\Excel\LAMPIRAN%20PDF\Stand%20Jack%20BRC%20-%20ST%20-%2017.pdf" TargetMode="External"/><Relationship Id="rId5" Type="http://schemas.openxmlformats.org/officeDocument/2006/relationships/hyperlink" Target="file:///C:\Users\m.musyafa\AppData\Roaming\Microsoft\Excel\LAMPIRAN%20PDF\Hand%20Pallet%20BRC%20-%20HP%20-%2002.pdf" TargetMode="External"/><Relationship Id="rId15" Type="http://schemas.openxmlformats.org/officeDocument/2006/relationships/hyperlink" Target="file:///C:\Users\m.musyafa\AppData\Roaming\Microsoft\Excel\LAMPIRAN%20PDF\Stand%20Jack%20BRC%20-%20ST%20-%2002.pdf" TargetMode="External"/><Relationship Id="rId23" Type="http://schemas.openxmlformats.org/officeDocument/2006/relationships/hyperlink" Target="file:///C:\Users\m.musyafa\AppData\Roaming\Microsoft\Excel\LAMPIRAN%20PDF\Stand%20Jack%20BRC%20-%20ST%20-%20008.pdf" TargetMode="External"/><Relationship Id="rId28" Type="http://schemas.openxmlformats.org/officeDocument/2006/relationships/hyperlink" Target="file:///C:\Users\m.musyafa\AppData\Roaming\Microsoft\Excel\LAMPIRAN%20PDF\Stand%20Jack%20BRC%20-%20ST%20-%2013.pdf" TargetMode="External"/><Relationship Id="rId10" Type="http://schemas.openxmlformats.org/officeDocument/2006/relationships/hyperlink" Target="file:///C:\Users\m.musyafa\AppData\Roaming\Microsoft\Excel\LAMPIRAN%20PDF\Overhead%20Crane%207708.pdf" TargetMode="External"/><Relationship Id="rId19" Type="http://schemas.openxmlformats.org/officeDocument/2006/relationships/hyperlink" Target="file:///C:\Users\m.musyafa\AppData\Roaming\Microsoft\Excel\LAMPIRAN%20PDF\Stand%20Jack%20BRC%20-%20ST%20-%20006.pdf" TargetMode="External"/><Relationship Id="rId31" Type="http://schemas.openxmlformats.org/officeDocument/2006/relationships/hyperlink" Target="file:///C:\Users\m.musyafa\AppData\Roaming\Microsoft\Excel\LAMPIRAN%20PDF\Stand%20Jack%20BRC%20-%20ST%20-%2016.pdf" TargetMode="External"/><Relationship Id="rId4" Type="http://schemas.openxmlformats.org/officeDocument/2006/relationships/hyperlink" Target="file:///C:\Users\m.musyafa\AppData\Roaming\Microsoft\Excel\LAMPIRAN%20PDF\Gantry%20Crane%20BM%20-%20MH%20-%2001.pdf" TargetMode="External"/><Relationship Id="rId9" Type="http://schemas.openxmlformats.org/officeDocument/2006/relationships/hyperlink" Target="file:///C:\Users\m.musyafa\AppData\Roaming\Microsoft\Excel\LAMPIRAN%20PDF\Overhead%20Crane%207701.pdf" TargetMode="External"/><Relationship Id="rId14" Type="http://schemas.openxmlformats.org/officeDocument/2006/relationships/hyperlink" Target="file:///C:\Users\m.musyafa\AppData\Roaming\Microsoft\Excel\LAMPIRAN%20PDF\Stand%20Jack%20BRC%20-%20ST%20-%2001.pdf" TargetMode="External"/><Relationship Id="rId22" Type="http://schemas.openxmlformats.org/officeDocument/2006/relationships/hyperlink" Target="file:///C:\Users\m.musyafa\AppData\Roaming\Microsoft\Excel\LAMPIRAN%20PDF\Stand%20Jack%20BRC%20-%20ST%20-%2007.pdf" TargetMode="External"/><Relationship Id="rId27" Type="http://schemas.openxmlformats.org/officeDocument/2006/relationships/hyperlink" Target="file:///C:\Users\m.musyafa\AppData\Roaming\Microsoft\Excel\LAMPIRAN%20PDF\Stand%20Jack%20BRC%20-%20ST%20-%2012.pdf" TargetMode="External"/><Relationship Id="rId30" Type="http://schemas.openxmlformats.org/officeDocument/2006/relationships/hyperlink" Target="file:///C:\Users\m.musyafa\AppData\Roaming\Microsoft\Excel\LAMPIRAN%20PDF\Stand%20Jack%20BRC%20-%20ST%20-%2015.pdf" TargetMode="External"/><Relationship Id="rId8" Type="http://schemas.openxmlformats.org/officeDocument/2006/relationships/hyperlink" Target="file:///C:\Users\m.musyafa\AppData\Roaming\Microsoft\Excel\LAMPIRAN%20PDF\Man%20Lift%20BRC%20-%20SRL%20-%2001.pdf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CE35-BFFE-41B7-B4FE-E5B0E38B6003}">
  <dimension ref="A1:T275"/>
  <sheetViews>
    <sheetView tabSelected="1" zoomScale="55" zoomScaleNormal="55" workbookViewId="0">
      <pane xSplit="3" ySplit="1" topLeftCell="D50" activePane="bottomRight" state="frozenSplit"/>
      <selection pane="topRight" activeCell="C1" sqref="C1"/>
      <selection pane="bottomLeft" activeCell="A21" sqref="A21"/>
      <selection pane="bottomRight" activeCell="H18" sqref="H18"/>
    </sheetView>
  </sheetViews>
  <sheetFormatPr defaultRowHeight="14.5"/>
  <cols>
    <col min="1" max="1" width="3.7265625" style="163" customWidth="1"/>
    <col min="2" max="2" width="17.26953125" style="163" bestFit="1" customWidth="1"/>
    <col min="3" max="3" width="32.36328125" style="163" bestFit="1" customWidth="1"/>
    <col min="4" max="4" width="9.08984375" style="163"/>
    <col min="5" max="5" width="15.90625" style="178" bestFit="1" customWidth="1"/>
    <col min="6" max="6" width="10.7265625" style="163" bestFit="1" customWidth="1"/>
    <col min="7" max="7" width="31.26953125" style="163" bestFit="1" customWidth="1"/>
    <col min="8" max="8" width="10.7265625" style="163" bestFit="1" customWidth="1"/>
    <col min="9" max="9" width="9.08984375" style="178"/>
    <col min="10" max="11" width="9.08984375" style="163"/>
    <col min="12" max="12" width="15" style="163" bestFit="1" customWidth="1"/>
    <col min="13" max="13" width="19.08984375" style="163" bestFit="1" customWidth="1"/>
    <col min="14" max="15" width="9.08984375" style="163"/>
    <col min="16" max="16" width="10" style="178" customWidth="1"/>
    <col min="17" max="17" width="11" style="163" bestFit="1" customWidth="1"/>
    <col min="19" max="19" width="24.90625" bestFit="1" customWidth="1"/>
    <col min="20" max="20" width="27.08984375" bestFit="1" customWidth="1"/>
  </cols>
  <sheetData>
    <row r="1" spans="1:20" ht="39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S1" s="88" t="s">
        <v>17</v>
      </c>
      <c r="T1" t="s">
        <v>18</v>
      </c>
    </row>
    <row r="2" spans="1:20">
      <c r="A2" s="169"/>
      <c r="B2" s="168" t="s">
        <v>19</v>
      </c>
      <c r="C2" s="170" t="s">
        <v>20</v>
      </c>
      <c r="D2" s="170"/>
      <c r="E2" s="170" t="s">
        <v>21</v>
      </c>
      <c r="F2" s="167">
        <v>45974</v>
      </c>
      <c r="G2" s="188" t="s">
        <v>22</v>
      </c>
      <c r="H2" s="171">
        <v>46339</v>
      </c>
      <c r="I2" s="170" t="s">
        <v>23</v>
      </c>
      <c r="J2" s="179">
        <f t="shared" ref="J2:J34" ca="1" si="0">IF(F2="","Need Inspect",TODAY()-F2)</f>
        <v>342</v>
      </c>
      <c r="K2" s="179">
        <f t="shared" ref="K2:K34" ca="1" si="1">IF(H2="","Need Inspect",H2-TODAY())</f>
        <v>23</v>
      </c>
      <c r="L2" s="179" t="str">
        <f t="shared" ref="L2:L34" ca="1" si="2">IF(K2="Need Inspect","Need Inspect",IF(K2&lt;0,"Expired",IF(K2&lt;=60,"Expired in &lt;2 Months","Done Inspect")))</f>
        <v>Expired in &lt;2 Months</v>
      </c>
      <c r="M2" s="180" t="str">
        <f t="shared" ref="M2:M34" ca="1" si="3">IF(OR(J2="Done Inspect",L2="Done Inspect"),"1. Certified",IF(OR(J2="Need Inspect",L2="Need Inspect"),"2. Need Inspect",IF(OR(J2="Last Insp. Date &gt;1 Year",L2="Expired"),"3. Need Certification","4. Prepare for Certification")))</f>
        <v>4. Prepare for Certification</v>
      </c>
      <c r="N2" s="169"/>
      <c r="O2" s="169"/>
      <c r="P2" s="169"/>
      <c r="Q2" s="169"/>
      <c r="S2" s="89" t="s">
        <v>24</v>
      </c>
      <c r="T2">
        <v>229</v>
      </c>
    </row>
    <row r="3" spans="1:20">
      <c r="A3" s="169"/>
      <c r="B3" s="168" t="s">
        <v>25</v>
      </c>
      <c r="C3" s="170" t="s">
        <v>26</v>
      </c>
      <c r="D3" s="170"/>
      <c r="E3" s="170" t="s">
        <v>27</v>
      </c>
      <c r="F3" s="167">
        <v>46293</v>
      </c>
      <c r="G3" s="168" t="s">
        <v>28</v>
      </c>
      <c r="H3" s="167">
        <v>46658</v>
      </c>
      <c r="I3" s="170" t="s">
        <v>23</v>
      </c>
      <c r="J3" s="179">
        <f t="shared" ca="1" si="0"/>
        <v>23</v>
      </c>
      <c r="K3" s="179">
        <f t="shared" ca="1" si="1"/>
        <v>342</v>
      </c>
      <c r="L3" s="179" t="str">
        <f t="shared" ca="1" si="2"/>
        <v>Done Inspect</v>
      </c>
      <c r="M3" s="180" t="str">
        <f t="shared" ca="1" si="3"/>
        <v>1. Certified</v>
      </c>
      <c r="N3" s="170" t="s">
        <v>29</v>
      </c>
      <c r="O3" s="169"/>
      <c r="P3" s="170"/>
      <c r="Q3" s="169">
        <v>4010394682</v>
      </c>
      <c r="S3" s="89" t="s">
        <v>30</v>
      </c>
      <c r="T3">
        <v>32</v>
      </c>
    </row>
    <row r="4" spans="1:20">
      <c r="A4" s="169"/>
      <c r="B4" s="164" t="s">
        <v>31</v>
      </c>
      <c r="C4" s="170" t="s">
        <v>32</v>
      </c>
      <c r="D4" s="170"/>
      <c r="E4" s="170" t="s">
        <v>21</v>
      </c>
      <c r="F4" s="167">
        <v>46027</v>
      </c>
      <c r="G4" s="169"/>
      <c r="H4" s="171">
        <v>46392</v>
      </c>
      <c r="I4" s="170" t="s">
        <v>23</v>
      </c>
      <c r="J4" s="179">
        <f t="shared" ca="1" si="0"/>
        <v>289</v>
      </c>
      <c r="K4" s="179">
        <f t="shared" ca="1" si="1"/>
        <v>76</v>
      </c>
      <c r="L4" s="179" t="str">
        <f t="shared" ca="1" si="2"/>
        <v>Done Inspect</v>
      </c>
      <c r="M4" s="180" t="str">
        <f t="shared" ca="1" si="3"/>
        <v>1. Certified</v>
      </c>
      <c r="N4" s="169"/>
      <c r="O4" s="169"/>
      <c r="P4" s="169"/>
      <c r="Q4" s="169"/>
      <c r="S4" s="89" t="s">
        <v>33</v>
      </c>
      <c r="T4">
        <v>261</v>
      </c>
    </row>
    <row r="5" spans="1:20">
      <c r="A5" s="169"/>
      <c r="B5" s="164" t="s">
        <v>34</v>
      </c>
      <c r="C5" s="170" t="s">
        <v>32</v>
      </c>
      <c r="D5" s="170"/>
      <c r="E5" s="170" t="s">
        <v>21</v>
      </c>
      <c r="F5" s="167">
        <v>46027</v>
      </c>
      <c r="G5" s="169"/>
      <c r="H5" s="171">
        <v>46392</v>
      </c>
      <c r="I5" s="170" t="s">
        <v>23</v>
      </c>
      <c r="J5" s="179">
        <f t="shared" ca="1" si="0"/>
        <v>289</v>
      </c>
      <c r="K5" s="179">
        <f t="shared" ca="1" si="1"/>
        <v>76</v>
      </c>
      <c r="L5" s="179" t="str">
        <f t="shared" ca="1" si="2"/>
        <v>Done Inspect</v>
      </c>
      <c r="M5" s="180" t="str">
        <f t="shared" ca="1" si="3"/>
        <v>1. Certified</v>
      </c>
      <c r="N5" s="169"/>
      <c r="O5" s="169"/>
      <c r="P5" s="169"/>
      <c r="Q5" s="169"/>
      <c r="T5">
        <f>SUM(T2:T3)</f>
        <v>261</v>
      </c>
    </row>
    <row r="6" spans="1:20">
      <c r="A6" s="169"/>
      <c r="B6" s="168" t="s">
        <v>35</v>
      </c>
      <c r="C6" s="170" t="s">
        <v>36</v>
      </c>
      <c r="D6" s="170">
        <v>2.6</v>
      </c>
      <c r="E6" s="170" t="s">
        <v>37</v>
      </c>
      <c r="F6" s="167">
        <v>46293</v>
      </c>
      <c r="G6" s="170" t="s">
        <v>38</v>
      </c>
      <c r="H6" s="167">
        <v>46658</v>
      </c>
      <c r="I6" s="170" t="s">
        <v>23</v>
      </c>
      <c r="J6" s="179">
        <f t="shared" ca="1" si="0"/>
        <v>23</v>
      </c>
      <c r="K6" s="179">
        <f t="shared" ca="1" si="1"/>
        <v>342</v>
      </c>
      <c r="L6" s="179" t="str">
        <f t="shared" ca="1" si="2"/>
        <v>Done Inspect</v>
      </c>
      <c r="M6" s="180" t="str">
        <f t="shared" ca="1" si="3"/>
        <v>1. Certified</v>
      </c>
      <c r="N6" s="170" t="s">
        <v>29</v>
      </c>
      <c r="O6" s="169"/>
      <c r="P6" s="170"/>
      <c r="Q6" s="169">
        <v>4010394682</v>
      </c>
    </row>
    <row r="7" spans="1:20">
      <c r="A7" s="169"/>
      <c r="B7" s="168" t="s">
        <v>39</v>
      </c>
      <c r="C7" s="170" t="s">
        <v>36</v>
      </c>
      <c r="D7" s="170">
        <v>5.5</v>
      </c>
      <c r="E7" s="170" t="s">
        <v>37</v>
      </c>
      <c r="F7" s="167">
        <v>46293</v>
      </c>
      <c r="G7" s="170" t="s">
        <v>40</v>
      </c>
      <c r="H7" s="167">
        <v>46658</v>
      </c>
      <c r="I7" s="170" t="s">
        <v>23</v>
      </c>
      <c r="J7" s="179">
        <f t="shared" ca="1" si="0"/>
        <v>23</v>
      </c>
      <c r="K7" s="179">
        <f t="shared" ca="1" si="1"/>
        <v>342</v>
      </c>
      <c r="L7" s="179" t="str">
        <f t="shared" ca="1" si="2"/>
        <v>Done Inspect</v>
      </c>
      <c r="M7" s="180" t="str">
        <f t="shared" ca="1" si="3"/>
        <v>1. Certified</v>
      </c>
      <c r="N7" s="170" t="s">
        <v>29</v>
      </c>
      <c r="O7" s="169"/>
      <c r="P7" s="170"/>
      <c r="Q7" s="169">
        <v>4010394682</v>
      </c>
      <c r="S7" s="186" t="s">
        <v>41</v>
      </c>
      <c r="T7" s="187">
        <f>T5/GETPIVOTDATA("Item no. / Asset No.",$S$1)</f>
        <v>1</v>
      </c>
    </row>
    <row r="8" spans="1:20">
      <c r="A8" s="169"/>
      <c r="B8" s="168" t="s">
        <v>42</v>
      </c>
      <c r="C8" s="170" t="s">
        <v>36</v>
      </c>
      <c r="D8" s="170">
        <v>2.6</v>
      </c>
      <c r="E8" s="170" t="s">
        <v>37</v>
      </c>
      <c r="F8" s="167">
        <v>46293</v>
      </c>
      <c r="G8" s="170" t="s">
        <v>43</v>
      </c>
      <c r="H8" s="167">
        <v>46658</v>
      </c>
      <c r="I8" s="170" t="s">
        <v>23</v>
      </c>
      <c r="J8" s="179">
        <f t="shared" ca="1" si="0"/>
        <v>23</v>
      </c>
      <c r="K8" s="179">
        <f t="shared" ca="1" si="1"/>
        <v>342</v>
      </c>
      <c r="L8" s="179" t="str">
        <f t="shared" ca="1" si="2"/>
        <v>Done Inspect</v>
      </c>
      <c r="M8" s="180" t="str">
        <f t="shared" ca="1" si="3"/>
        <v>1. Certified</v>
      </c>
      <c r="N8" s="170" t="s">
        <v>29</v>
      </c>
      <c r="O8" s="169"/>
      <c r="P8" s="170"/>
      <c r="Q8" s="169">
        <v>4010394682</v>
      </c>
    </row>
    <row r="9" spans="1:20">
      <c r="A9" s="169"/>
      <c r="B9" s="168" t="s">
        <v>44</v>
      </c>
      <c r="C9" s="170" t="s">
        <v>36</v>
      </c>
      <c r="D9" s="170">
        <v>5.5</v>
      </c>
      <c r="E9" s="170" t="s">
        <v>37</v>
      </c>
      <c r="F9" s="167">
        <v>46293</v>
      </c>
      <c r="G9" s="170" t="s">
        <v>45</v>
      </c>
      <c r="H9" s="167">
        <v>46658</v>
      </c>
      <c r="I9" s="170" t="s">
        <v>23</v>
      </c>
      <c r="J9" s="179">
        <f t="shared" ca="1" si="0"/>
        <v>23</v>
      </c>
      <c r="K9" s="179">
        <f t="shared" ca="1" si="1"/>
        <v>342</v>
      </c>
      <c r="L9" s="179" t="str">
        <f t="shared" ca="1" si="2"/>
        <v>Done Inspect</v>
      </c>
      <c r="M9" s="180" t="str">
        <f t="shared" ca="1" si="3"/>
        <v>1. Certified</v>
      </c>
      <c r="N9" s="170" t="s">
        <v>29</v>
      </c>
      <c r="O9" s="169"/>
      <c r="P9" s="170"/>
      <c r="Q9" s="169">
        <v>4010394682</v>
      </c>
    </row>
    <row r="10" spans="1:20">
      <c r="A10" s="169"/>
      <c r="B10" s="168" t="s">
        <v>46</v>
      </c>
      <c r="C10" s="170" t="s">
        <v>36</v>
      </c>
      <c r="D10" s="170">
        <v>5.5</v>
      </c>
      <c r="E10" s="170" t="s">
        <v>37</v>
      </c>
      <c r="F10" s="167">
        <v>46293</v>
      </c>
      <c r="G10" s="170" t="s">
        <v>47</v>
      </c>
      <c r="H10" s="167">
        <v>46658</v>
      </c>
      <c r="I10" s="170" t="s">
        <v>23</v>
      </c>
      <c r="J10" s="179">
        <f t="shared" ca="1" si="0"/>
        <v>23</v>
      </c>
      <c r="K10" s="179">
        <f t="shared" ca="1" si="1"/>
        <v>342</v>
      </c>
      <c r="L10" s="179" t="str">
        <f t="shared" ca="1" si="2"/>
        <v>Done Inspect</v>
      </c>
      <c r="M10" s="180" t="str">
        <f t="shared" ca="1" si="3"/>
        <v>1. Certified</v>
      </c>
      <c r="N10" s="170" t="s">
        <v>29</v>
      </c>
      <c r="O10" s="169"/>
      <c r="P10" s="170"/>
      <c r="Q10" s="169">
        <v>4010394682</v>
      </c>
    </row>
    <row r="11" spans="1:20">
      <c r="A11" s="169"/>
      <c r="B11" s="168" t="s">
        <v>48</v>
      </c>
      <c r="C11" s="170" t="s">
        <v>36</v>
      </c>
      <c r="D11" s="170">
        <v>5.5</v>
      </c>
      <c r="E11" s="170" t="s">
        <v>37</v>
      </c>
      <c r="F11" s="167">
        <v>46293</v>
      </c>
      <c r="G11" s="170" t="s">
        <v>49</v>
      </c>
      <c r="H11" s="167">
        <v>46658</v>
      </c>
      <c r="I11" s="170" t="s">
        <v>23</v>
      </c>
      <c r="J11" s="179">
        <f t="shared" ca="1" si="0"/>
        <v>23</v>
      </c>
      <c r="K11" s="179">
        <f t="shared" ca="1" si="1"/>
        <v>342</v>
      </c>
      <c r="L11" s="179" t="str">
        <f t="shared" ca="1" si="2"/>
        <v>Done Inspect</v>
      </c>
      <c r="M11" s="180" t="str">
        <f t="shared" ca="1" si="3"/>
        <v>1. Certified</v>
      </c>
      <c r="N11" s="170" t="s">
        <v>29</v>
      </c>
      <c r="O11" s="169"/>
      <c r="P11" s="170"/>
      <c r="Q11" s="169">
        <v>4010394682</v>
      </c>
    </row>
    <row r="12" spans="1:20">
      <c r="A12" s="169"/>
      <c r="B12" s="168" t="s">
        <v>50</v>
      </c>
      <c r="C12" s="170" t="s">
        <v>36</v>
      </c>
      <c r="D12" s="170">
        <v>13</v>
      </c>
      <c r="E12" s="170" t="s">
        <v>37</v>
      </c>
      <c r="F12" s="167">
        <v>46293</v>
      </c>
      <c r="G12" s="169"/>
      <c r="H12" s="167">
        <v>46658</v>
      </c>
      <c r="I12" s="170" t="s">
        <v>23</v>
      </c>
      <c r="J12" s="179">
        <f t="shared" ca="1" si="0"/>
        <v>23</v>
      </c>
      <c r="K12" s="179">
        <f t="shared" ca="1" si="1"/>
        <v>342</v>
      </c>
      <c r="L12" s="179" t="str">
        <f t="shared" ca="1" si="2"/>
        <v>Done Inspect</v>
      </c>
      <c r="M12" s="180" t="str">
        <f t="shared" ca="1" si="3"/>
        <v>1. Certified</v>
      </c>
      <c r="N12" s="170" t="s">
        <v>29</v>
      </c>
      <c r="O12" s="169"/>
      <c r="P12" s="170"/>
      <c r="Q12" s="169">
        <v>4010394682</v>
      </c>
    </row>
    <row r="13" spans="1:20">
      <c r="A13" s="169"/>
      <c r="B13" s="168" t="s">
        <v>51</v>
      </c>
      <c r="C13" s="170" t="s">
        <v>36</v>
      </c>
      <c r="D13" s="170">
        <v>5.5</v>
      </c>
      <c r="E13" s="170" t="s">
        <v>37</v>
      </c>
      <c r="F13" s="167">
        <v>45988</v>
      </c>
      <c r="G13" s="169"/>
      <c r="H13" s="171">
        <v>46366</v>
      </c>
      <c r="I13" s="170" t="s">
        <v>23</v>
      </c>
      <c r="J13" s="179">
        <f t="shared" ref="J13" ca="1" si="4">IF(F13="","Need Inspect",TODAY()-F13)</f>
        <v>328</v>
      </c>
      <c r="K13" s="179">
        <f t="shared" ref="K13" ca="1" si="5">IF(H13="","Need Inspect",H13-TODAY())</f>
        <v>50</v>
      </c>
      <c r="L13" s="179" t="str">
        <f t="shared" ca="1" si="2"/>
        <v>Expired in &lt;2 Months</v>
      </c>
      <c r="M13" s="180" t="str">
        <f t="shared" ref="M13" ca="1" si="6">IF(OR(J13="Done Inspect",L13="Done Inspect"),"1. Certified",IF(OR(J13="Need Inspect",L13="Need Inspect"),"2. Need Inspect",IF(OR(J13="Last Insp. Date &gt;1 Year",L13="Expired"),"3. Need Certification","4. Prepare for Certification")))</f>
        <v>4. Prepare for Certification</v>
      </c>
      <c r="N13" s="169"/>
      <c r="O13" s="169"/>
      <c r="P13" s="169"/>
      <c r="Q13" s="169"/>
    </row>
    <row r="14" spans="1:20">
      <c r="A14" s="169"/>
      <c r="B14" s="168" t="s">
        <v>52</v>
      </c>
      <c r="C14" s="170" t="s">
        <v>36</v>
      </c>
      <c r="D14" s="170">
        <v>2.6</v>
      </c>
      <c r="E14" s="170" t="s">
        <v>37</v>
      </c>
      <c r="F14" s="167">
        <v>46001</v>
      </c>
      <c r="G14" s="169"/>
      <c r="H14" s="171">
        <v>46366</v>
      </c>
      <c r="I14" s="170" t="s">
        <v>23</v>
      </c>
      <c r="J14" s="179">
        <f t="shared" ca="1" si="0"/>
        <v>315</v>
      </c>
      <c r="K14" s="179">
        <f t="shared" ca="1" si="1"/>
        <v>50</v>
      </c>
      <c r="L14" s="179" t="str">
        <f t="shared" ca="1" si="2"/>
        <v>Expired in &lt;2 Months</v>
      </c>
      <c r="M14" s="180" t="str">
        <f t="shared" ca="1" si="3"/>
        <v>4. Prepare for Certification</v>
      </c>
      <c r="N14" s="169"/>
      <c r="O14" s="169"/>
      <c r="P14" s="169"/>
      <c r="Q14" s="169"/>
    </row>
    <row r="15" spans="1:20">
      <c r="A15" s="169"/>
      <c r="B15" s="168">
        <v>7709</v>
      </c>
      <c r="C15" s="170" t="s">
        <v>53</v>
      </c>
      <c r="D15" s="170">
        <v>2</v>
      </c>
      <c r="E15" s="170" t="s">
        <v>54</v>
      </c>
      <c r="F15" s="167">
        <v>45988</v>
      </c>
      <c r="G15" s="170" t="s">
        <v>55</v>
      </c>
      <c r="H15" s="171">
        <v>46366</v>
      </c>
      <c r="I15" s="170" t="s">
        <v>23</v>
      </c>
      <c r="J15" s="179">
        <f t="shared" ca="1" si="0"/>
        <v>328</v>
      </c>
      <c r="K15" s="179">
        <f t="shared" ca="1" si="1"/>
        <v>50</v>
      </c>
      <c r="L15" s="179" t="str">
        <f t="shared" ca="1" si="2"/>
        <v>Expired in &lt;2 Months</v>
      </c>
      <c r="M15" s="180" t="str">
        <f t="shared" ca="1" si="3"/>
        <v>4. Prepare for Certification</v>
      </c>
      <c r="N15" s="169"/>
      <c r="O15" s="169"/>
      <c r="P15" s="169"/>
      <c r="Q15" s="169"/>
    </row>
    <row r="16" spans="1:20">
      <c r="A16" s="169"/>
      <c r="B16" s="164">
        <v>7710</v>
      </c>
      <c r="C16" s="170" t="s">
        <v>53</v>
      </c>
      <c r="D16" s="170">
        <v>2</v>
      </c>
      <c r="E16" s="170" t="s">
        <v>56</v>
      </c>
      <c r="F16" s="167">
        <v>45988</v>
      </c>
      <c r="G16" s="169"/>
      <c r="H16" s="171">
        <v>46366</v>
      </c>
      <c r="I16" s="170" t="s">
        <v>23</v>
      </c>
      <c r="J16" s="179">
        <f t="shared" ca="1" si="0"/>
        <v>328</v>
      </c>
      <c r="K16" s="179">
        <f t="shared" ca="1" si="1"/>
        <v>50</v>
      </c>
      <c r="L16" s="179" t="str">
        <f t="shared" ca="1" si="2"/>
        <v>Expired in &lt;2 Months</v>
      </c>
      <c r="M16" s="180" t="str">
        <f t="shared" ca="1" si="3"/>
        <v>4. Prepare for Certification</v>
      </c>
      <c r="N16" s="169"/>
      <c r="O16" s="169"/>
      <c r="P16" s="169"/>
      <c r="Q16" s="169"/>
    </row>
    <row r="17" spans="1:17">
      <c r="A17" s="169"/>
      <c r="B17" s="168" t="s">
        <v>57</v>
      </c>
      <c r="C17" s="170" t="s">
        <v>53</v>
      </c>
      <c r="D17" s="170">
        <v>3.2</v>
      </c>
      <c r="E17" s="170" t="s">
        <v>58</v>
      </c>
      <c r="F17" s="167">
        <v>45988</v>
      </c>
      <c r="G17" s="169"/>
      <c r="H17" s="171">
        <v>46366</v>
      </c>
      <c r="I17" s="170" t="s">
        <v>23</v>
      </c>
      <c r="J17" s="179">
        <f t="shared" ca="1" si="0"/>
        <v>328</v>
      </c>
      <c r="K17" s="179">
        <f t="shared" ca="1" si="1"/>
        <v>50</v>
      </c>
      <c r="L17" s="179" t="str">
        <f t="shared" ca="1" si="2"/>
        <v>Expired in &lt;2 Months</v>
      </c>
      <c r="M17" s="180" t="str">
        <f t="shared" ca="1" si="3"/>
        <v>4. Prepare for Certification</v>
      </c>
      <c r="N17" s="169"/>
      <c r="O17" s="169"/>
      <c r="P17" s="169"/>
      <c r="Q17" s="169"/>
    </row>
    <row r="18" spans="1:17">
      <c r="A18" s="169"/>
      <c r="B18" s="168" t="s">
        <v>59</v>
      </c>
      <c r="C18" s="170" t="s">
        <v>53</v>
      </c>
      <c r="D18" s="170">
        <v>3.2</v>
      </c>
      <c r="E18" s="170" t="s">
        <v>58</v>
      </c>
      <c r="F18" s="167">
        <v>45988</v>
      </c>
      <c r="G18" s="169"/>
      <c r="H18" s="171">
        <v>46366</v>
      </c>
      <c r="I18" s="170" t="s">
        <v>23</v>
      </c>
      <c r="J18" s="179">
        <f t="shared" ca="1" si="0"/>
        <v>328</v>
      </c>
      <c r="K18" s="179">
        <f t="shared" ca="1" si="1"/>
        <v>50</v>
      </c>
      <c r="L18" s="179" t="str">
        <f t="shared" ca="1" si="2"/>
        <v>Expired in &lt;2 Months</v>
      </c>
      <c r="M18" s="180" t="str">
        <f t="shared" ca="1" si="3"/>
        <v>4. Prepare for Certification</v>
      </c>
      <c r="N18" s="169"/>
      <c r="O18" s="169"/>
      <c r="P18" s="169"/>
      <c r="Q18" s="169"/>
    </row>
    <row r="19" spans="1:17">
      <c r="A19" s="169"/>
      <c r="B19" s="168" t="s">
        <v>60</v>
      </c>
      <c r="C19" s="170" t="s">
        <v>53</v>
      </c>
      <c r="D19" s="170">
        <v>5</v>
      </c>
      <c r="E19" s="170" t="s">
        <v>58</v>
      </c>
      <c r="F19" s="167">
        <v>45988</v>
      </c>
      <c r="G19" s="169"/>
      <c r="H19" s="171">
        <v>46366</v>
      </c>
      <c r="I19" s="170" t="s">
        <v>23</v>
      </c>
      <c r="J19" s="179">
        <f t="shared" ca="1" si="0"/>
        <v>328</v>
      </c>
      <c r="K19" s="179">
        <f t="shared" ca="1" si="1"/>
        <v>50</v>
      </c>
      <c r="L19" s="179" t="str">
        <f t="shared" ca="1" si="2"/>
        <v>Expired in &lt;2 Months</v>
      </c>
      <c r="M19" s="180" t="str">
        <f t="shared" ca="1" si="3"/>
        <v>4. Prepare for Certification</v>
      </c>
      <c r="N19" s="169"/>
      <c r="O19" s="169"/>
      <c r="P19" s="169"/>
      <c r="Q19" s="169"/>
    </row>
    <row r="20" spans="1:17">
      <c r="A20" s="169"/>
      <c r="B20" s="168" t="s">
        <v>61</v>
      </c>
      <c r="C20" s="170" t="s">
        <v>53</v>
      </c>
      <c r="D20" s="170">
        <v>5</v>
      </c>
      <c r="E20" s="170" t="s">
        <v>58</v>
      </c>
      <c r="F20" s="167">
        <v>45988</v>
      </c>
      <c r="G20" s="169"/>
      <c r="H20" s="171">
        <v>46366</v>
      </c>
      <c r="I20" s="170" t="s">
        <v>23</v>
      </c>
      <c r="J20" s="179">
        <f t="shared" ca="1" si="0"/>
        <v>328</v>
      </c>
      <c r="K20" s="179">
        <f t="shared" ca="1" si="1"/>
        <v>50</v>
      </c>
      <c r="L20" s="179" t="str">
        <f t="shared" ca="1" si="2"/>
        <v>Expired in &lt;2 Months</v>
      </c>
      <c r="M20" s="180" t="str">
        <f t="shared" ca="1" si="3"/>
        <v>4. Prepare for Certification</v>
      </c>
      <c r="N20" s="169"/>
      <c r="O20" s="169"/>
      <c r="P20" s="169"/>
      <c r="Q20" s="169"/>
    </row>
    <row r="21" spans="1:17">
      <c r="A21" s="169"/>
      <c r="B21" s="168" t="s">
        <v>62</v>
      </c>
      <c r="C21" s="170" t="s">
        <v>53</v>
      </c>
      <c r="D21" s="170">
        <v>7.5</v>
      </c>
      <c r="E21" s="170" t="s">
        <v>63</v>
      </c>
      <c r="F21" s="167">
        <v>45988</v>
      </c>
      <c r="G21" s="169"/>
      <c r="H21" s="171">
        <v>46366</v>
      </c>
      <c r="I21" s="170" t="s">
        <v>23</v>
      </c>
      <c r="J21" s="179">
        <f t="shared" ca="1" si="0"/>
        <v>328</v>
      </c>
      <c r="K21" s="179">
        <f t="shared" ca="1" si="1"/>
        <v>50</v>
      </c>
      <c r="L21" s="179" t="str">
        <f t="shared" ca="1" si="2"/>
        <v>Expired in &lt;2 Months</v>
      </c>
      <c r="M21" s="180" t="str">
        <f t="shared" ca="1" si="3"/>
        <v>4. Prepare for Certification</v>
      </c>
      <c r="N21" s="169"/>
      <c r="O21" s="169"/>
      <c r="P21" s="169"/>
      <c r="Q21" s="169"/>
    </row>
    <row r="22" spans="1:17">
      <c r="A22" s="169"/>
      <c r="B22" s="168" t="s">
        <v>64</v>
      </c>
      <c r="C22" s="170" t="s">
        <v>53</v>
      </c>
      <c r="D22" s="170">
        <v>7.5</v>
      </c>
      <c r="E22" s="170" t="s">
        <v>54</v>
      </c>
      <c r="F22" s="167">
        <v>45988</v>
      </c>
      <c r="G22" s="169"/>
      <c r="H22" s="171">
        <v>46366</v>
      </c>
      <c r="I22" s="170" t="s">
        <v>23</v>
      </c>
      <c r="J22" s="179">
        <f t="shared" ca="1" si="0"/>
        <v>328</v>
      </c>
      <c r="K22" s="179">
        <f t="shared" ca="1" si="1"/>
        <v>50</v>
      </c>
      <c r="L22" s="179" t="str">
        <f t="shared" ca="1" si="2"/>
        <v>Expired in &lt;2 Months</v>
      </c>
      <c r="M22" s="180" t="str">
        <f t="shared" ca="1" si="3"/>
        <v>4. Prepare for Certification</v>
      </c>
      <c r="N22" s="169"/>
      <c r="O22" s="169"/>
      <c r="P22" s="169"/>
      <c r="Q22" s="169"/>
    </row>
    <row r="23" spans="1:17">
      <c r="A23" s="169"/>
      <c r="B23" s="164" t="s">
        <v>65</v>
      </c>
      <c r="C23" s="172" t="s">
        <v>66</v>
      </c>
      <c r="D23" s="170">
        <v>1</v>
      </c>
      <c r="E23" s="170" t="s">
        <v>67</v>
      </c>
      <c r="F23" s="166">
        <v>46212</v>
      </c>
      <c r="G23" s="168" t="s">
        <v>68</v>
      </c>
      <c r="H23" s="166">
        <v>46577</v>
      </c>
      <c r="I23" s="170" t="s">
        <v>23</v>
      </c>
      <c r="J23" s="179">
        <f t="shared" ca="1" si="0"/>
        <v>104</v>
      </c>
      <c r="K23" s="179">
        <f t="shared" ca="1" si="1"/>
        <v>261</v>
      </c>
      <c r="L23" s="179" t="str">
        <f t="shared" ca="1" si="2"/>
        <v>Done Inspect</v>
      </c>
      <c r="M23" s="180" t="str">
        <f t="shared" ca="1" si="3"/>
        <v>1. Certified</v>
      </c>
      <c r="N23" s="169"/>
      <c r="O23" s="169"/>
      <c r="P23" s="169"/>
      <c r="Q23" s="169"/>
    </row>
    <row r="24" spans="1:17">
      <c r="A24" s="169"/>
      <c r="B24" s="168" t="s">
        <v>69</v>
      </c>
      <c r="C24" s="172" t="s">
        <v>66</v>
      </c>
      <c r="D24" s="170">
        <v>1</v>
      </c>
      <c r="E24" s="170" t="s">
        <v>67</v>
      </c>
      <c r="F24" s="166">
        <v>46247</v>
      </c>
      <c r="G24" s="168" t="s">
        <v>70</v>
      </c>
      <c r="H24" s="166">
        <v>46612</v>
      </c>
      <c r="I24" s="170" t="s">
        <v>23</v>
      </c>
      <c r="J24" s="179">
        <f t="shared" ca="1" si="0"/>
        <v>69</v>
      </c>
      <c r="K24" s="179">
        <f t="shared" ca="1" si="1"/>
        <v>296</v>
      </c>
      <c r="L24" s="179" t="str">
        <f t="shared" ca="1" si="2"/>
        <v>Done Inspect</v>
      </c>
      <c r="M24" s="180" t="str">
        <f t="shared" ca="1" si="3"/>
        <v>1. Certified</v>
      </c>
      <c r="N24" s="169"/>
      <c r="O24" s="169"/>
      <c r="P24" s="169"/>
      <c r="Q24" s="169"/>
    </row>
    <row r="25" spans="1:17">
      <c r="A25" s="169"/>
      <c r="B25" s="164" t="s">
        <v>71</v>
      </c>
      <c r="C25" s="170" t="s">
        <v>66</v>
      </c>
      <c r="D25" s="170">
        <v>2.25</v>
      </c>
      <c r="E25" s="170" t="s">
        <v>54</v>
      </c>
      <c r="F25" s="166">
        <v>46266</v>
      </c>
      <c r="G25" s="169"/>
      <c r="H25" s="166">
        <v>46631</v>
      </c>
      <c r="I25" s="170" t="s">
        <v>23</v>
      </c>
      <c r="J25" s="179">
        <f t="shared" ca="1" si="0"/>
        <v>50</v>
      </c>
      <c r="K25" s="179">
        <f t="shared" ca="1" si="1"/>
        <v>315</v>
      </c>
      <c r="L25" s="179" t="str">
        <f t="shared" ca="1" si="2"/>
        <v>Done Inspect</v>
      </c>
      <c r="M25" s="180" t="str">
        <f t="shared" ca="1" si="3"/>
        <v>1. Certified</v>
      </c>
      <c r="N25" s="170" t="s">
        <v>29</v>
      </c>
      <c r="O25" s="169"/>
      <c r="P25" s="169"/>
      <c r="Q25" s="169">
        <v>4010392940</v>
      </c>
    </row>
    <row r="26" spans="1:17">
      <c r="A26" s="169"/>
      <c r="B26" s="164" t="s">
        <v>72</v>
      </c>
      <c r="C26" s="170" t="s">
        <v>73</v>
      </c>
      <c r="D26" s="165">
        <v>0.15</v>
      </c>
      <c r="E26" s="170" t="s">
        <v>74</v>
      </c>
      <c r="F26" s="167">
        <v>46268</v>
      </c>
      <c r="G26" s="169"/>
      <c r="H26" s="167">
        <v>46633</v>
      </c>
      <c r="I26" s="170" t="s">
        <v>23</v>
      </c>
      <c r="J26" s="179">
        <f t="shared" ca="1" si="0"/>
        <v>48</v>
      </c>
      <c r="K26" s="179">
        <f t="shared" ca="1" si="1"/>
        <v>317</v>
      </c>
      <c r="L26" s="179" t="str">
        <f t="shared" ca="1" si="2"/>
        <v>Done Inspect</v>
      </c>
      <c r="M26" s="180" t="str">
        <f t="shared" ca="1" si="3"/>
        <v>1. Certified</v>
      </c>
      <c r="N26" s="170" t="s">
        <v>29</v>
      </c>
      <c r="O26" s="169"/>
      <c r="P26" s="169"/>
      <c r="Q26" s="169">
        <v>4010392940</v>
      </c>
    </row>
    <row r="27" spans="1:17">
      <c r="A27" s="169"/>
      <c r="B27" s="164" t="s">
        <v>75</v>
      </c>
      <c r="C27" s="170" t="s">
        <v>73</v>
      </c>
      <c r="D27" s="165">
        <v>0.15</v>
      </c>
      <c r="E27" s="170" t="s">
        <v>74</v>
      </c>
      <c r="F27" s="167">
        <v>46268</v>
      </c>
      <c r="G27" s="169"/>
      <c r="H27" s="167">
        <v>46633</v>
      </c>
      <c r="I27" s="170" t="s">
        <v>23</v>
      </c>
      <c r="J27" s="179">
        <f t="shared" ca="1" si="0"/>
        <v>48</v>
      </c>
      <c r="K27" s="179">
        <f t="shared" ca="1" si="1"/>
        <v>317</v>
      </c>
      <c r="L27" s="179" t="str">
        <f t="shared" ca="1" si="2"/>
        <v>Done Inspect</v>
      </c>
      <c r="M27" s="180" t="str">
        <f t="shared" ca="1" si="3"/>
        <v>1. Certified</v>
      </c>
      <c r="N27" s="170" t="s">
        <v>29</v>
      </c>
      <c r="O27" s="169"/>
      <c r="P27" s="169"/>
      <c r="Q27" s="169">
        <v>4010392940</v>
      </c>
    </row>
    <row r="28" spans="1:17">
      <c r="A28" s="169"/>
      <c r="B28" s="164" t="s">
        <v>76</v>
      </c>
      <c r="C28" s="170" t="s">
        <v>73</v>
      </c>
      <c r="D28" s="165">
        <v>0.15</v>
      </c>
      <c r="E28" s="170" t="s">
        <v>74</v>
      </c>
      <c r="F28" s="167">
        <v>46268</v>
      </c>
      <c r="G28" s="169"/>
      <c r="H28" s="167">
        <v>46633</v>
      </c>
      <c r="I28" s="170" t="s">
        <v>23</v>
      </c>
      <c r="J28" s="179">
        <f t="shared" ca="1" si="0"/>
        <v>48</v>
      </c>
      <c r="K28" s="179">
        <f t="shared" ca="1" si="1"/>
        <v>317</v>
      </c>
      <c r="L28" s="179" t="str">
        <f t="shared" ca="1" si="2"/>
        <v>Done Inspect</v>
      </c>
      <c r="M28" s="180" t="str">
        <f t="shared" ca="1" si="3"/>
        <v>1. Certified</v>
      </c>
      <c r="N28" s="170" t="s">
        <v>29</v>
      </c>
      <c r="O28" s="169"/>
      <c r="P28" s="169"/>
      <c r="Q28" s="169">
        <v>4010392940</v>
      </c>
    </row>
    <row r="29" spans="1:17">
      <c r="A29" s="169"/>
      <c r="B29" s="164" t="s">
        <v>77</v>
      </c>
      <c r="C29" s="170" t="s">
        <v>73</v>
      </c>
      <c r="D29" s="165">
        <v>0.15</v>
      </c>
      <c r="E29" s="170" t="s">
        <v>74</v>
      </c>
      <c r="F29" s="167">
        <v>46268</v>
      </c>
      <c r="G29" s="169"/>
      <c r="H29" s="167">
        <v>46633</v>
      </c>
      <c r="I29" s="170" t="s">
        <v>23</v>
      </c>
      <c r="J29" s="179">
        <f t="shared" ca="1" si="0"/>
        <v>48</v>
      </c>
      <c r="K29" s="179">
        <f t="shared" ca="1" si="1"/>
        <v>317</v>
      </c>
      <c r="L29" s="179" t="str">
        <f t="shared" ca="1" si="2"/>
        <v>Done Inspect</v>
      </c>
      <c r="M29" s="180" t="str">
        <f t="shared" ca="1" si="3"/>
        <v>1. Certified</v>
      </c>
      <c r="N29" s="170" t="s">
        <v>29</v>
      </c>
      <c r="O29" s="169"/>
      <c r="P29" s="169"/>
      <c r="Q29" s="169">
        <v>4010392940</v>
      </c>
    </row>
    <row r="30" spans="1:17">
      <c r="A30" s="169"/>
      <c r="B30" s="164" t="s">
        <v>78</v>
      </c>
      <c r="C30" s="170" t="s">
        <v>73</v>
      </c>
      <c r="D30" s="165">
        <v>0.15</v>
      </c>
      <c r="E30" s="170" t="s">
        <v>74</v>
      </c>
      <c r="F30" s="167">
        <v>46268</v>
      </c>
      <c r="G30" s="169"/>
      <c r="H30" s="167">
        <v>46633</v>
      </c>
      <c r="I30" s="170" t="s">
        <v>23</v>
      </c>
      <c r="J30" s="179">
        <f t="shared" ca="1" si="0"/>
        <v>48</v>
      </c>
      <c r="K30" s="179">
        <f t="shared" ca="1" si="1"/>
        <v>317</v>
      </c>
      <c r="L30" s="179" t="str">
        <f t="shared" ca="1" si="2"/>
        <v>Done Inspect</v>
      </c>
      <c r="M30" s="180" t="str">
        <f t="shared" ca="1" si="3"/>
        <v>1. Certified</v>
      </c>
      <c r="N30" s="170" t="s">
        <v>29</v>
      </c>
      <c r="O30" s="169"/>
      <c r="P30" s="169"/>
      <c r="Q30" s="169">
        <v>4010392940</v>
      </c>
    </row>
    <row r="31" spans="1:17">
      <c r="A31" s="169"/>
      <c r="B31" s="164" t="s">
        <v>79</v>
      </c>
      <c r="C31" s="170" t="s">
        <v>73</v>
      </c>
      <c r="D31" s="165">
        <v>0.15</v>
      </c>
      <c r="E31" s="170" t="s">
        <v>74</v>
      </c>
      <c r="F31" s="167">
        <v>46268</v>
      </c>
      <c r="G31" s="169"/>
      <c r="H31" s="167">
        <v>46633</v>
      </c>
      <c r="I31" s="170" t="s">
        <v>23</v>
      </c>
      <c r="J31" s="179">
        <f t="shared" ca="1" si="0"/>
        <v>48</v>
      </c>
      <c r="K31" s="179">
        <f t="shared" ca="1" si="1"/>
        <v>317</v>
      </c>
      <c r="L31" s="179" t="str">
        <f t="shared" ca="1" si="2"/>
        <v>Done Inspect</v>
      </c>
      <c r="M31" s="180" t="str">
        <f t="shared" ca="1" si="3"/>
        <v>1. Certified</v>
      </c>
      <c r="N31" s="170" t="s">
        <v>29</v>
      </c>
      <c r="O31" s="169"/>
      <c r="P31" s="169"/>
      <c r="Q31" s="169">
        <v>4010392940</v>
      </c>
    </row>
    <row r="32" spans="1:17">
      <c r="A32" s="169"/>
      <c r="B32" s="164" t="s">
        <v>80</v>
      </c>
      <c r="C32" s="170" t="s">
        <v>73</v>
      </c>
      <c r="D32" s="165">
        <v>0.15</v>
      </c>
      <c r="E32" s="170" t="s">
        <v>74</v>
      </c>
      <c r="F32" s="167">
        <v>46268</v>
      </c>
      <c r="G32" s="169"/>
      <c r="H32" s="167">
        <v>46633</v>
      </c>
      <c r="I32" s="170" t="s">
        <v>23</v>
      </c>
      <c r="J32" s="179">
        <f t="shared" ca="1" si="0"/>
        <v>48</v>
      </c>
      <c r="K32" s="179">
        <f t="shared" ca="1" si="1"/>
        <v>317</v>
      </c>
      <c r="L32" s="179" t="str">
        <f t="shared" ca="1" si="2"/>
        <v>Done Inspect</v>
      </c>
      <c r="M32" s="180" t="str">
        <f t="shared" ca="1" si="3"/>
        <v>1. Certified</v>
      </c>
      <c r="N32" s="170" t="s">
        <v>29</v>
      </c>
      <c r="O32" s="169"/>
      <c r="P32" s="169"/>
      <c r="Q32" s="169">
        <v>4010392940</v>
      </c>
    </row>
    <row r="33" spans="1:17">
      <c r="A33" s="169"/>
      <c r="B33" s="164" t="s">
        <v>81</v>
      </c>
      <c r="C33" s="170" t="s">
        <v>73</v>
      </c>
      <c r="D33" s="165">
        <v>0.22</v>
      </c>
      <c r="E33" s="170" t="s">
        <v>74</v>
      </c>
      <c r="F33" s="167">
        <v>46268</v>
      </c>
      <c r="G33" s="169"/>
      <c r="H33" s="167">
        <v>46633</v>
      </c>
      <c r="I33" s="170" t="s">
        <v>23</v>
      </c>
      <c r="J33" s="179">
        <f t="shared" ca="1" si="0"/>
        <v>48</v>
      </c>
      <c r="K33" s="179">
        <f t="shared" ca="1" si="1"/>
        <v>317</v>
      </c>
      <c r="L33" s="179" t="str">
        <f t="shared" ca="1" si="2"/>
        <v>Done Inspect</v>
      </c>
      <c r="M33" s="180" t="str">
        <f t="shared" ca="1" si="3"/>
        <v>1. Certified</v>
      </c>
      <c r="N33" s="170" t="s">
        <v>29</v>
      </c>
      <c r="O33" s="169"/>
      <c r="P33" s="169"/>
      <c r="Q33" s="169">
        <v>4010392940</v>
      </c>
    </row>
    <row r="34" spans="1:17">
      <c r="A34" s="169"/>
      <c r="B34" s="164" t="s">
        <v>82</v>
      </c>
      <c r="C34" s="170" t="s">
        <v>73</v>
      </c>
      <c r="D34" s="165">
        <v>0.22</v>
      </c>
      <c r="E34" s="170" t="s">
        <v>74</v>
      </c>
      <c r="F34" s="167">
        <v>46268</v>
      </c>
      <c r="G34" s="169"/>
      <c r="H34" s="167">
        <v>46633</v>
      </c>
      <c r="I34" s="170" t="s">
        <v>23</v>
      </c>
      <c r="J34" s="179">
        <f t="shared" ca="1" si="0"/>
        <v>48</v>
      </c>
      <c r="K34" s="179">
        <f t="shared" ca="1" si="1"/>
        <v>317</v>
      </c>
      <c r="L34" s="179" t="str">
        <f t="shared" ca="1" si="2"/>
        <v>Done Inspect</v>
      </c>
      <c r="M34" s="180" t="str">
        <f t="shared" ca="1" si="3"/>
        <v>1. Certified</v>
      </c>
      <c r="N34" s="170" t="s">
        <v>29</v>
      </c>
      <c r="O34" s="169"/>
      <c r="P34" s="169"/>
      <c r="Q34" s="169">
        <v>4010392940</v>
      </c>
    </row>
    <row r="35" spans="1:17">
      <c r="A35" s="169"/>
      <c r="B35" s="164" t="s">
        <v>83</v>
      </c>
      <c r="C35" s="170" t="s">
        <v>73</v>
      </c>
      <c r="D35" s="165">
        <v>0.22</v>
      </c>
      <c r="E35" s="170" t="s">
        <v>74</v>
      </c>
      <c r="F35" s="167">
        <v>46268</v>
      </c>
      <c r="G35" s="169"/>
      <c r="H35" s="167">
        <v>46633</v>
      </c>
      <c r="I35" s="170" t="s">
        <v>23</v>
      </c>
      <c r="J35" s="179">
        <f t="shared" ref="J35:J66" ca="1" si="7">IF(F35="","Need Inspect",TODAY()-F35)</f>
        <v>48</v>
      </c>
      <c r="K35" s="179">
        <f t="shared" ref="K35:K66" ca="1" si="8">IF(H35="","Need Inspect",H35-TODAY())</f>
        <v>317</v>
      </c>
      <c r="L35" s="179" t="str">
        <f t="shared" ref="L35:L66" ca="1" si="9">IF(K35="Need Inspect","Need Inspect",IF(K35&lt;0,"Expired",IF(K35&lt;=60,"Expired in &lt;2 Months","Done Inspect")))</f>
        <v>Done Inspect</v>
      </c>
      <c r="M35" s="180" t="str">
        <f t="shared" ref="M35:M66" ca="1" si="10">IF(OR(J35="Done Inspect",L35="Done Inspect"),"1. Certified",IF(OR(J35="Need Inspect",L35="Need Inspect"),"2. Need Inspect",IF(OR(J35="Last Insp. Date &gt;1 Year",L35="Expired"),"3. Need Certification","4. Prepare for Certification")))</f>
        <v>1. Certified</v>
      </c>
      <c r="N35" s="170" t="s">
        <v>29</v>
      </c>
      <c r="O35" s="169"/>
      <c r="P35" s="169"/>
      <c r="Q35" s="169">
        <v>4010392940</v>
      </c>
    </row>
    <row r="36" spans="1:17">
      <c r="A36" s="169"/>
      <c r="B36" s="164" t="s">
        <v>84</v>
      </c>
      <c r="C36" s="170" t="s">
        <v>73</v>
      </c>
      <c r="D36" s="165">
        <v>0.45</v>
      </c>
      <c r="E36" s="170" t="s">
        <v>74</v>
      </c>
      <c r="F36" s="167">
        <v>46268</v>
      </c>
      <c r="G36" s="169"/>
      <c r="H36" s="167">
        <v>46633</v>
      </c>
      <c r="I36" s="170" t="s">
        <v>23</v>
      </c>
      <c r="J36" s="179">
        <f t="shared" ca="1" si="7"/>
        <v>48</v>
      </c>
      <c r="K36" s="179">
        <f t="shared" ca="1" si="8"/>
        <v>317</v>
      </c>
      <c r="L36" s="179" t="str">
        <f t="shared" ca="1" si="9"/>
        <v>Done Inspect</v>
      </c>
      <c r="M36" s="180" t="str">
        <f t="shared" ca="1" si="10"/>
        <v>1. Certified</v>
      </c>
      <c r="N36" s="170" t="s">
        <v>29</v>
      </c>
      <c r="O36" s="169"/>
      <c r="P36" s="169"/>
      <c r="Q36" s="169">
        <v>4010392940</v>
      </c>
    </row>
    <row r="37" spans="1:17">
      <c r="A37" s="169"/>
      <c r="B37" s="164" t="s">
        <v>85</v>
      </c>
      <c r="C37" s="170" t="s">
        <v>73</v>
      </c>
      <c r="D37" s="165">
        <v>0.45</v>
      </c>
      <c r="E37" s="170" t="s">
        <v>74</v>
      </c>
      <c r="F37" s="167">
        <v>46268</v>
      </c>
      <c r="G37" s="169"/>
      <c r="H37" s="167">
        <v>46633</v>
      </c>
      <c r="I37" s="170" t="s">
        <v>23</v>
      </c>
      <c r="J37" s="179">
        <f t="shared" ca="1" si="7"/>
        <v>48</v>
      </c>
      <c r="K37" s="179">
        <f t="shared" ca="1" si="8"/>
        <v>317</v>
      </c>
      <c r="L37" s="179" t="str">
        <f t="shared" ca="1" si="9"/>
        <v>Done Inspect</v>
      </c>
      <c r="M37" s="180" t="str">
        <f t="shared" ca="1" si="10"/>
        <v>1. Certified</v>
      </c>
      <c r="N37" s="170" t="s">
        <v>29</v>
      </c>
      <c r="O37" s="169"/>
      <c r="P37" s="169"/>
      <c r="Q37" s="169">
        <v>4010392940</v>
      </c>
    </row>
    <row r="38" spans="1:17">
      <c r="A38" s="169"/>
      <c r="B38" s="164" t="s">
        <v>86</v>
      </c>
      <c r="C38" s="170" t="s">
        <v>73</v>
      </c>
      <c r="D38" s="165">
        <v>0.45</v>
      </c>
      <c r="E38" s="170" t="s">
        <v>74</v>
      </c>
      <c r="F38" s="167">
        <v>46268</v>
      </c>
      <c r="G38" s="169"/>
      <c r="H38" s="167">
        <v>46633</v>
      </c>
      <c r="I38" s="170" t="s">
        <v>23</v>
      </c>
      <c r="J38" s="179">
        <f t="shared" ca="1" si="7"/>
        <v>48</v>
      </c>
      <c r="K38" s="179">
        <f t="shared" ca="1" si="8"/>
        <v>317</v>
      </c>
      <c r="L38" s="179" t="str">
        <f t="shared" ca="1" si="9"/>
        <v>Done Inspect</v>
      </c>
      <c r="M38" s="180" t="str">
        <f t="shared" ca="1" si="10"/>
        <v>1. Certified</v>
      </c>
      <c r="N38" s="170" t="s">
        <v>29</v>
      </c>
      <c r="O38" s="169"/>
      <c r="P38" s="169"/>
      <c r="Q38" s="169">
        <v>4010392940</v>
      </c>
    </row>
    <row r="39" spans="1:17">
      <c r="A39" s="169"/>
      <c r="B39" s="164" t="s">
        <v>87</v>
      </c>
      <c r="C39" s="170" t="s">
        <v>73</v>
      </c>
      <c r="D39" s="165">
        <v>0.45</v>
      </c>
      <c r="E39" s="170" t="s">
        <v>74</v>
      </c>
      <c r="F39" s="167">
        <v>46268</v>
      </c>
      <c r="G39" s="169"/>
      <c r="H39" s="167">
        <v>46633</v>
      </c>
      <c r="I39" s="170" t="s">
        <v>23</v>
      </c>
      <c r="J39" s="179">
        <f t="shared" ca="1" si="7"/>
        <v>48</v>
      </c>
      <c r="K39" s="179">
        <f t="shared" ca="1" si="8"/>
        <v>317</v>
      </c>
      <c r="L39" s="179" t="str">
        <f t="shared" ca="1" si="9"/>
        <v>Done Inspect</v>
      </c>
      <c r="M39" s="180" t="str">
        <f t="shared" ca="1" si="10"/>
        <v>1. Certified</v>
      </c>
      <c r="N39" s="170" t="s">
        <v>29</v>
      </c>
      <c r="O39" s="169"/>
      <c r="P39" s="169"/>
      <c r="Q39" s="169">
        <v>4010392940</v>
      </c>
    </row>
    <row r="40" spans="1:17">
      <c r="A40" s="169"/>
      <c r="B40" s="164" t="s">
        <v>88</v>
      </c>
      <c r="C40" s="170" t="s">
        <v>73</v>
      </c>
      <c r="D40" s="165">
        <v>0.63</v>
      </c>
      <c r="E40" s="170" t="s">
        <v>74</v>
      </c>
      <c r="F40" s="167">
        <v>46268</v>
      </c>
      <c r="G40" s="169"/>
      <c r="H40" s="167">
        <v>46633</v>
      </c>
      <c r="I40" s="170" t="s">
        <v>23</v>
      </c>
      <c r="J40" s="179">
        <f t="shared" ca="1" si="7"/>
        <v>48</v>
      </c>
      <c r="K40" s="179">
        <f t="shared" ca="1" si="8"/>
        <v>317</v>
      </c>
      <c r="L40" s="179" t="str">
        <f t="shared" ca="1" si="9"/>
        <v>Done Inspect</v>
      </c>
      <c r="M40" s="180" t="str">
        <f t="shared" ca="1" si="10"/>
        <v>1. Certified</v>
      </c>
      <c r="N40" s="170" t="s">
        <v>29</v>
      </c>
      <c r="O40" s="169"/>
      <c r="P40" s="169"/>
      <c r="Q40" s="169">
        <v>4010392940</v>
      </c>
    </row>
    <row r="41" spans="1:17">
      <c r="A41" s="169"/>
      <c r="B41" s="164" t="s">
        <v>89</v>
      </c>
      <c r="C41" s="170" t="s">
        <v>73</v>
      </c>
      <c r="D41" s="165">
        <v>0.63</v>
      </c>
      <c r="E41" s="170" t="s">
        <v>74</v>
      </c>
      <c r="F41" s="167">
        <v>46268</v>
      </c>
      <c r="G41" s="169"/>
      <c r="H41" s="167">
        <v>46633</v>
      </c>
      <c r="I41" s="170" t="s">
        <v>23</v>
      </c>
      <c r="J41" s="179">
        <f t="shared" ca="1" si="7"/>
        <v>48</v>
      </c>
      <c r="K41" s="179">
        <f t="shared" ca="1" si="8"/>
        <v>317</v>
      </c>
      <c r="L41" s="179" t="str">
        <f t="shared" ca="1" si="9"/>
        <v>Done Inspect</v>
      </c>
      <c r="M41" s="180" t="str">
        <f t="shared" ca="1" si="10"/>
        <v>1. Certified</v>
      </c>
      <c r="N41" s="170" t="s">
        <v>29</v>
      </c>
      <c r="O41" s="169"/>
      <c r="P41" s="169"/>
      <c r="Q41" s="169">
        <v>4010392940</v>
      </c>
    </row>
    <row r="42" spans="1:17">
      <c r="A42" s="169"/>
      <c r="B42" s="164" t="s">
        <v>90</v>
      </c>
      <c r="C42" s="170" t="s">
        <v>73</v>
      </c>
      <c r="D42" s="165">
        <v>0.63</v>
      </c>
      <c r="E42" s="170" t="s">
        <v>74</v>
      </c>
      <c r="F42" s="167">
        <v>46268</v>
      </c>
      <c r="G42" s="169"/>
      <c r="H42" s="167">
        <v>46633</v>
      </c>
      <c r="I42" s="170" t="s">
        <v>23</v>
      </c>
      <c r="J42" s="179">
        <f t="shared" ca="1" si="7"/>
        <v>48</v>
      </c>
      <c r="K42" s="179">
        <f t="shared" ca="1" si="8"/>
        <v>317</v>
      </c>
      <c r="L42" s="179" t="str">
        <f t="shared" ca="1" si="9"/>
        <v>Done Inspect</v>
      </c>
      <c r="M42" s="180" t="str">
        <f t="shared" ca="1" si="10"/>
        <v>1. Certified</v>
      </c>
      <c r="N42" s="170" t="s">
        <v>29</v>
      </c>
      <c r="O42" s="169"/>
      <c r="P42" s="169"/>
      <c r="Q42" s="169">
        <v>4010392940</v>
      </c>
    </row>
    <row r="43" spans="1:17">
      <c r="A43" s="169"/>
      <c r="B43" s="164" t="s">
        <v>91</v>
      </c>
      <c r="C43" s="170" t="s">
        <v>73</v>
      </c>
      <c r="D43" s="165">
        <v>0.63</v>
      </c>
      <c r="E43" s="170" t="s">
        <v>74</v>
      </c>
      <c r="F43" s="167">
        <v>46268</v>
      </c>
      <c r="G43" s="169"/>
      <c r="H43" s="167">
        <v>46633</v>
      </c>
      <c r="I43" s="170" t="s">
        <v>23</v>
      </c>
      <c r="J43" s="179">
        <f t="shared" ca="1" si="7"/>
        <v>48</v>
      </c>
      <c r="K43" s="179">
        <f t="shared" ca="1" si="8"/>
        <v>317</v>
      </c>
      <c r="L43" s="179" t="str">
        <f t="shared" ca="1" si="9"/>
        <v>Done Inspect</v>
      </c>
      <c r="M43" s="180" t="str">
        <f t="shared" ca="1" si="10"/>
        <v>1. Certified</v>
      </c>
      <c r="N43" s="170" t="s">
        <v>29</v>
      </c>
      <c r="O43" s="169"/>
      <c r="P43" s="169"/>
      <c r="Q43" s="169">
        <v>4010392940</v>
      </c>
    </row>
    <row r="44" spans="1:17">
      <c r="A44" s="169"/>
      <c r="B44" s="164" t="s">
        <v>92</v>
      </c>
      <c r="C44" s="170" t="s">
        <v>73</v>
      </c>
      <c r="D44" s="165">
        <v>0.63</v>
      </c>
      <c r="E44" s="170" t="s">
        <v>74</v>
      </c>
      <c r="F44" s="167">
        <v>46268</v>
      </c>
      <c r="G44" s="169"/>
      <c r="H44" s="167">
        <v>46633</v>
      </c>
      <c r="I44" s="170" t="s">
        <v>23</v>
      </c>
      <c r="J44" s="179">
        <f t="shared" ca="1" si="7"/>
        <v>48</v>
      </c>
      <c r="K44" s="179">
        <f t="shared" ca="1" si="8"/>
        <v>317</v>
      </c>
      <c r="L44" s="179" t="str">
        <f t="shared" ca="1" si="9"/>
        <v>Done Inspect</v>
      </c>
      <c r="M44" s="180" t="str">
        <f t="shared" ca="1" si="10"/>
        <v>1. Certified</v>
      </c>
      <c r="N44" s="170" t="s">
        <v>29</v>
      </c>
      <c r="O44" s="169"/>
      <c r="P44" s="169"/>
      <c r="Q44" s="169">
        <v>4010392940</v>
      </c>
    </row>
    <row r="45" spans="1:17">
      <c r="A45" s="169"/>
      <c r="B45" s="164" t="s">
        <v>93</v>
      </c>
      <c r="C45" s="170" t="s">
        <v>73</v>
      </c>
      <c r="D45" s="165">
        <v>0.63</v>
      </c>
      <c r="E45" s="170" t="s">
        <v>74</v>
      </c>
      <c r="F45" s="167">
        <v>46268</v>
      </c>
      <c r="G45" s="169"/>
      <c r="H45" s="167">
        <v>46633</v>
      </c>
      <c r="I45" s="170" t="s">
        <v>23</v>
      </c>
      <c r="J45" s="179">
        <f t="shared" ca="1" si="7"/>
        <v>48</v>
      </c>
      <c r="K45" s="179">
        <f t="shared" ca="1" si="8"/>
        <v>317</v>
      </c>
      <c r="L45" s="179" t="str">
        <f t="shared" ca="1" si="9"/>
        <v>Done Inspect</v>
      </c>
      <c r="M45" s="180" t="str">
        <f t="shared" ca="1" si="10"/>
        <v>1. Certified</v>
      </c>
      <c r="N45" s="170" t="s">
        <v>29</v>
      </c>
      <c r="O45" s="169"/>
      <c r="P45" s="169"/>
      <c r="Q45" s="169">
        <v>4010392940</v>
      </c>
    </row>
    <row r="46" spans="1:17">
      <c r="A46" s="169"/>
      <c r="B46" s="164" t="s">
        <v>94</v>
      </c>
      <c r="C46" s="170" t="s">
        <v>73</v>
      </c>
      <c r="D46" s="165">
        <v>0.7</v>
      </c>
      <c r="E46" s="170" t="s">
        <v>74</v>
      </c>
      <c r="F46" s="167">
        <v>46268</v>
      </c>
      <c r="G46" s="169"/>
      <c r="H46" s="167">
        <v>46633</v>
      </c>
      <c r="I46" s="170" t="s">
        <v>23</v>
      </c>
      <c r="J46" s="179">
        <f t="shared" ca="1" si="7"/>
        <v>48</v>
      </c>
      <c r="K46" s="179">
        <f t="shared" ca="1" si="8"/>
        <v>317</v>
      </c>
      <c r="L46" s="179" t="str">
        <f t="shared" ca="1" si="9"/>
        <v>Done Inspect</v>
      </c>
      <c r="M46" s="180" t="str">
        <f t="shared" ca="1" si="10"/>
        <v>1. Certified</v>
      </c>
      <c r="N46" s="170" t="s">
        <v>29</v>
      </c>
      <c r="O46" s="169"/>
      <c r="P46" s="169"/>
      <c r="Q46" s="169">
        <v>4010392940</v>
      </c>
    </row>
    <row r="47" spans="1:17">
      <c r="A47" s="169"/>
      <c r="B47" s="164" t="s">
        <v>95</v>
      </c>
      <c r="C47" s="170" t="s">
        <v>73</v>
      </c>
      <c r="D47" s="165">
        <v>0.7</v>
      </c>
      <c r="E47" s="170" t="s">
        <v>74</v>
      </c>
      <c r="F47" s="167">
        <v>46268</v>
      </c>
      <c r="G47" s="169"/>
      <c r="H47" s="167">
        <v>46633</v>
      </c>
      <c r="I47" s="170" t="s">
        <v>23</v>
      </c>
      <c r="J47" s="179">
        <f t="shared" ca="1" si="7"/>
        <v>48</v>
      </c>
      <c r="K47" s="179">
        <f t="shared" ca="1" si="8"/>
        <v>317</v>
      </c>
      <c r="L47" s="179" t="str">
        <f t="shared" ca="1" si="9"/>
        <v>Done Inspect</v>
      </c>
      <c r="M47" s="180" t="str">
        <f t="shared" ca="1" si="10"/>
        <v>1. Certified</v>
      </c>
      <c r="N47" s="170" t="s">
        <v>29</v>
      </c>
      <c r="O47" s="169"/>
      <c r="P47" s="169"/>
      <c r="Q47" s="169">
        <v>4010392940</v>
      </c>
    </row>
    <row r="48" spans="1:17">
      <c r="A48" s="169"/>
      <c r="B48" s="164" t="s">
        <v>96</v>
      </c>
      <c r="C48" s="170" t="s">
        <v>73</v>
      </c>
      <c r="D48" s="165">
        <v>0.7</v>
      </c>
      <c r="E48" s="170" t="s">
        <v>74</v>
      </c>
      <c r="F48" s="167">
        <v>46268</v>
      </c>
      <c r="G48" s="169"/>
      <c r="H48" s="167">
        <v>46633</v>
      </c>
      <c r="I48" s="170" t="s">
        <v>23</v>
      </c>
      <c r="J48" s="179">
        <f t="shared" ca="1" si="7"/>
        <v>48</v>
      </c>
      <c r="K48" s="179">
        <f t="shared" ca="1" si="8"/>
        <v>317</v>
      </c>
      <c r="L48" s="179" t="str">
        <f t="shared" ca="1" si="9"/>
        <v>Done Inspect</v>
      </c>
      <c r="M48" s="180" t="str">
        <f t="shared" ca="1" si="10"/>
        <v>1. Certified</v>
      </c>
      <c r="N48" s="170" t="s">
        <v>29</v>
      </c>
      <c r="O48" s="169"/>
      <c r="P48" s="169"/>
      <c r="Q48" s="169">
        <v>4010392940</v>
      </c>
    </row>
    <row r="49" spans="1:17">
      <c r="A49" s="169"/>
      <c r="B49" s="164" t="s">
        <v>97</v>
      </c>
      <c r="C49" s="170" t="s">
        <v>73</v>
      </c>
      <c r="D49" s="165">
        <v>0.7</v>
      </c>
      <c r="E49" s="170" t="s">
        <v>74</v>
      </c>
      <c r="F49" s="167">
        <v>46268</v>
      </c>
      <c r="G49" s="169"/>
      <c r="H49" s="167">
        <v>46633</v>
      </c>
      <c r="I49" s="170" t="s">
        <v>23</v>
      </c>
      <c r="J49" s="179">
        <f t="shared" ca="1" si="7"/>
        <v>48</v>
      </c>
      <c r="K49" s="179">
        <f t="shared" ca="1" si="8"/>
        <v>317</v>
      </c>
      <c r="L49" s="179" t="str">
        <f t="shared" ca="1" si="9"/>
        <v>Done Inspect</v>
      </c>
      <c r="M49" s="180" t="str">
        <f t="shared" ca="1" si="10"/>
        <v>1. Certified</v>
      </c>
      <c r="N49" s="170" t="s">
        <v>29</v>
      </c>
      <c r="O49" s="169"/>
      <c r="P49" s="169"/>
      <c r="Q49" s="169">
        <v>4010392940</v>
      </c>
    </row>
    <row r="50" spans="1:17">
      <c r="A50" s="169"/>
      <c r="B50" s="164" t="s">
        <v>98</v>
      </c>
      <c r="C50" s="170" t="s">
        <v>73</v>
      </c>
      <c r="D50" s="165">
        <v>0.7</v>
      </c>
      <c r="E50" s="170" t="s">
        <v>74</v>
      </c>
      <c r="F50" s="167">
        <v>46268</v>
      </c>
      <c r="G50" s="169"/>
      <c r="H50" s="167">
        <v>46633</v>
      </c>
      <c r="I50" s="170" t="s">
        <v>23</v>
      </c>
      <c r="J50" s="179">
        <f t="shared" ca="1" si="7"/>
        <v>48</v>
      </c>
      <c r="K50" s="179">
        <f t="shared" ca="1" si="8"/>
        <v>317</v>
      </c>
      <c r="L50" s="179" t="str">
        <f t="shared" ca="1" si="9"/>
        <v>Done Inspect</v>
      </c>
      <c r="M50" s="180" t="str">
        <f t="shared" ca="1" si="10"/>
        <v>1. Certified</v>
      </c>
      <c r="N50" s="170" t="s">
        <v>29</v>
      </c>
      <c r="O50" s="169"/>
      <c r="P50" s="169"/>
      <c r="Q50" s="169">
        <v>4010392940</v>
      </c>
    </row>
    <row r="51" spans="1:17">
      <c r="A51" s="169"/>
      <c r="B51" s="164" t="s">
        <v>99</v>
      </c>
      <c r="C51" s="170" t="s">
        <v>73</v>
      </c>
      <c r="D51" s="165">
        <v>0.7</v>
      </c>
      <c r="E51" s="170" t="s">
        <v>74</v>
      </c>
      <c r="F51" s="167">
        <v>46268</v>
      </c>
      <c r="G51" s="169"/>
      <c r="H51" s="167">
        <v>46633</v>
      </c>
      <c r="I51" s="170" t="s">
        <v>23</v>
      </c>
      <c r="J51" s="179">
        <f t="shared" ca="1" si="7"/>
        <v>48</v>
      </c>
      <c r="K51" s="179">
        <f t="shared" ca="1" si="8"/>
        <v>317</v>
      </c>
      <c r="L51" s="179" t="str">
        <f t="shared" ca="1" si="9"/>
        <v>Done Inspect</v>
      </c>
      <c r="M51" s="180" t="str">
        <f t="shared" ca="1" si="10"/>
        <v>1. Certified</v>
      </c>
      <c r="N51" s="170" t="s">
        <v>29</v>
      </c>
      <c r="O51" s="169"/>
      <c r="P51" s="169"/>
      <c r="Q51" s="169">
        <v>4010392940</v>
      </c>
    </row>
    <row r="52" spans="1:17">
      <c r="A52" s="169"/>
      <c r="B52" s="164" t="s">
        <v>100</v>
      </c>
      <c r="C52" s="170" t="s">
        <v>73</v>
      </c>
      <c r="D52" s="165">
        <v>0.7</v>
      </c>
      <c r="E52" s="170" t="s">
        <v>74</v>
      </c>
      <c r="F52" s="167">
        <v>46268</v>
      </c>
      <c r="G52" s="169"/>
      <c r="H52" s="167">
        <v>46633</v>
      </c>
      <c r="I52" s="170" t="s">
        <v>23</v>
      </c>
      <c r="J52" s="179">
        <f t="shared" ca="1" si="7"/>
        <v>48</v>
      </c>
      <c r="K52" s="179">
        <f t="shared" ca="1" si="8"/>
        <v>317</v>
      </c>
      <c r="L52" s="179" t="str">
        <f t="shared" ca="1" si="9"/>
        <v>Done Inspect</v>
      </c>
      <c r="M52" s="180" t="str">
        <f t="shared" ca="1" si="10"/>
        <v>1. Certified</v>
      </c>
      <c r="N52" s="170" t="s">
        <v>29</v>
      </c>
      <c r="O52" s="169"/>
      <c r="P52" s="169"/>
      <c r="Q52" s="169">
        <v>4010392940</v>
      </c>
    </row>
    <row r="53" spans="1:17">
      <c r="A53" s="169"/>
      <c r="B53" s="164" t="s">
        <v>101</v>
      </c>
      <c r="C53" s="170" t="s">
        <v>73</v>
      </c>
      <c r="D53" s="165">
        <v>0.95</v>
      </c>
      <c r="E53" s="170" t="s">
        <v>74</v>
      </c>
      <c r="F53" s="167">
        <v>46268</v>
      </c>
      <c r="G53" s="169"/>
      <c r="H53" s="167">
        <v>46633</v>
      </c>
      <c r="I53" s="170" t="s">
        <v>23</v>
      </c>
      <c r="J53" s="179">
        <f t="shared" ca="1" si="7"/>
        <v>48</v>
      </c>
      <c r="K53" s="179">
        <f t="shared" ca="1" si="8"/>
        <v>317</v>
      </c>
      <c r="L53" s="179" t="str">
        <f t="shared" ca="1" si="9"/>
        <v>Done Inspect</v>
      </c>
      <c r="M53" s="180" t="str">
        <f t="shared" ca="1" si="10"/>
        <v>1. Certified</v>
      </c>
      <c r="N53" s="170" t="s">
        <v>29</v>
      </c>
      <c r="O53" s="169"/>
      <c r="P53" s="169"/>
      <c r="Q53" s="169">
        <v>4010392940</v>
      </c>
    </row>
    <row r="54" spans="1:17">
      <c r="A54" s="169"/>
      <c r="B54" s="164" t="s">
        <v>102</v>
      </c>
      <c r="C54" s="170" t="s">
        <v>73</v>
      </c>
      <c r="D54" s="165">
        <v>0.95</v>
      </c>
      <c r="E54" s="170" t="s">
        <v>74</v>
      </c>
      <c r="F54" s="167">
        <v>46268</v>
      </c>
      <c r="G54" s="169"/>
      <c r="H54" s="167">
        <v>46633</v>
      </c>
      <c r="I54" s="170" t="s">
        <v>23</v>
      </c>
      <c r="J54" s="179">
        <f t="shared" ca="1" si="7"/>
        <v>48</v>
      </c>
      <c r="K54" s="179">
        <f t="shared" ca="1" si="8"/>
        <v>317</v>
      </c>
      <c r="L54" s="179" t="str">
        <f t="shared" ca="1" si="9"/>
        <v>Done Inspect</v>
      </c>
      <c r="M54" s="180" t="str">
        <f t="shared" ca="1" si="10"/>
        <v>1. Certified</v>
      </c>
      <c r="N54" s="170" t="s">
        <v>29</v>
      </c>
      <c r="O54" s="169"/>
      <c r="P54" s="169"/>
      <c r="Q54" s="169">
        <v>4010392940</v>
      </c>
    </row>
    <row r="55" spans="1:17">
      <c r="A55" s="169"/>
      <c r="B55" s="164" t="s">
        <v>103</v>
      </c>
      <c r="C55" s="170" t="s">
        <v>73</v>
      </c>
      <c r="D55" s="165">
        <v>0.95</v>
      </c>
      <c r="E55" s="170" t="s">
        <v>74</v>
      </c>
      <c r="F55" s="167">
        <v>46268</v>
      </c>
      <c r="G55" s="169"/>
      <c r="H55" s="167">
        <v>46633</v>
      </c>
      <c r="I55" s="170" t="s">
        <v>23</v>
      </c>
      <c r="J55" s="179">
        <f t="shared" ca="1" si="7"/>
        <v>48</v>
      </c>
      <c r="K55" s="179">
        <f t="shared" ca="1" si="8"/>
        <v>317</v>
      </c>
      <c r="L55" s="179" t="str">
        <f t="shared" ca="1" si="9"/>
        <v>Done Inspect</v>
      </c>
      <c r="M55" s="180" t="str">
        <f t="shared" ca="1" si="10"/>
        <v>1. Certified</v>
      </c>
      <c r="N55" s="170" t="s">
        <v>29</v>
      </c>
      <c r="O55" s="169"/>
      <c r="P55" s="169"/>
      <c r="Q55" s="169">
        <v>4010392940</v>
      </c>
    </row>
    <row r="56" spans="1:17">
      <c r="A56" s="169"/>
      <c r="B56" s="164" t="s">
        <v>104</v>
      </c>
      <c r="C56" s="170" t="s">
        <v>73</v>
      </c>
      <c r="D56" s="165">
        <v>0.95</v>
      </c>
      <c r="E56" s="170" t="s">
        <v>74</v>
      </c>
      <c r="F56" s="167">
        <v>46268</v>
      </c>
      <c r="G56" s="169"/>
      <c r="H56" s="167">
        <v>46633</v>
      </c>
      <c r="I56" s="170" t="s">
        <v>23</v>
      </c>
      <c r="J56" s="179">
        <f t="shared" ca="1" si="7"/>
        <v>48</v>
      </c>
      <c r="K56" s="179">
        <f t="shared" ca="1" si="8"/>
        <v>317</v>
      </c>
      <c r="L56" s="179" t="str">
        <f t="shared" ca="1" si="9"/>
        <v>Done Inspect</v>
      </c>
      <c r="M56" s="180" t="str">
        <f t="shared" ca="1" si="10"/>
        <v>1. Certified</v>
      </c>
      <c r="N56" s="170" t="s">
        <v>29</v>
      </c>
      <c r="O56" s="169"/>
      <c r="P56" s="169"/>
      <c r="Q56" s="169">
        <v>4010392940</v>
      </c>
    </row>
    <row r="57" spans="1:17">
      <c r="A57" s="169"/>
      <c r="B57" s="164" t="s">
        <v>105</v>
      </c>
      <c r="C57" s="170" t="s">
        <v>73</v>
      </c>
      <c r="D57" s="165">
        <v>0.95</v>
      </c>
      <c r="E57" s="170" t="s">
        <v>74</v>
      </c>
      <c r="F57" s="167">
        <v>46268</v>
      </c>
      <c r="G57" s="169"/>
      <c r="H57" s="167">
        <v>46633</v>
      </c>
      <c r="I57" s="170" t="s">
        <v>23</v>
      </c>
      <c r="J57" s="179">
        <f t="shared" ca="1" si="7"/>
        <v>48</v>
      </c>
      <c r="K57" s="179">
        <f t="shared" ca="1" si="8"/>
        <v>317</v>
      </c>
      <c r="L57" s="179" t="str">
        <f t="shared" ca="1" si="9"/>
        <v>Done Inspect</v>
      </c>
      <c r="M57" s="180" t="str">
        <f t="shared" ca="1" si="10"/>
        <v>1. Certified</v>
      </c>
      <c r="N57" s="170" t="s">
        <v>29</v>
      </c>
      <c r="O57" s="169"/>
      <c r="P57" s="169"/>
      <c r="Q57" s="169">
        <v>4010392940</v>
      </c>
    </row>
    <row r="58" spans="1:17">
      <c r="A58" s="169"/>
      <c r="B58" s="164" t="s">
        <v>106</v>
      </c>
      <c r="C58" s="170" t="s">
        <v>73</v>
      </c>
      <c r="D58" s="165">
        <v>0.95</v>
      </c>
      <c r="E58" s="170" t="s">
        <v>74</v>
      </c>
      <c r="F58" s="167">
        <v>46268</v>
      </c>
      <c r="G58" s="169"/>
      <c r="H58" s="167">
        <v>46633</v>
      </c>
      <c r="I58" s="170" t="s">
        <v>23</v>
      </c>
      <c r="J58" s="179">
        <f t="shared" ca="1" si="7"/>
        <v>48</v>
      </c>
      <c r="K58" s="179">
        <f t="shared" ca="1" si="8"/>
        <v>317</v>
      </c>
      <c r="L58" s="179" t="str">
        <f t="shared" ca="1" si="9"/>
        <v>Done Inspect</v>
      </c>
      <c r="M58" s="180" t="str">
        <f t="shared" ca="1" si="10"/>
        <v>1. Certified</v>
      </c>
      <c r="N58" s="170" t="s">
        <v>29</v>
      </c>
      <c r="O58" s="169"/>
      <c r="P58" s="169"/>
      <c r="Q58" s="169">
        <v>4010392940</v>
      </c>
    </row>
    <row r="59" spans="1:17">
      <c r="A59" s="169"/>
      <c r="B59" s="164" t="s">
        <v>107</v>
      </c>
      <c r="C59" s="170" t="s">
        <v>73</v>
      </c>
      <c r="D59" s="165">
        <v>1.2</v>
      </c>
      <c r="E59" s="170" t="s">
        <v>74</v>
      </c>
      <c r="F59" s="167">
        <v>46268</v>
      </c>
      <c r="G59" s="169"/>
      <c r="H59" s="167">
        <v>46633</v>
      </c>
      <c r="I59" s="170" t="s">
        <v>23</v>
      </c>
      <c r="J59" s="179">
        <f t="shared" ca="1" si="7"/>
        <v>48</v>
      </c>
      <c r="K59" s="179">
        <f t="shared" ca="1" si="8"/>
        <v>317</v>
      </c>
      <c r="L59" s="179" t="str">
        <f t="shared" ca="1" si="9"/>
        <v>Done Inspect</v>
      </c>
      <c r="M59" s="180" t="str">
        <f t="shared" ca="1" si="10"/>
        <v>1. Certified</v>
      </c>
      <c r="N59" s="170" t="s">
        <v>29</v>
      </c>
      <c r="O59" s="169"/>
      <c r="P59" s="169"/>
      <c r="Q59" s="169">
        <v>4010392940</v>
      </c>
    </row>
    <row r="60" spans="1:17">
      <c r="A60" s="169"/>
      <c r="B60" s="164" t="s">
        <v>108</v>
      </c>
      <c r="C60" s="170" t="s">
        <v>73</v>
      </c>
      <c r="D60" s="165">
        <v>1.2</v>
      </c>
      <c r="E60" s="170" t="s">
        <v>74</v>
      </c>
      <c r="F60" s="167">
        <v>46268</v>
      </c>
      <c r="G60" s="169"/>
      <c r="H60" s="167">
        <v>46633</v>
      </c>
      <c r="I60" s="170" t="s">
        <v>23</v>
      </c>
      <c r="J60" s="179">
        <f t="shared" ca="1" si="7"/>
        <v>48</v>
      </c>
      <c r="K60" s="179">
        <f t="shared" ca="1" si="8"/>
        <v>317</v>
      </c>
      <c r="L60" s="179" t="str">
        <f t="shared" ca="1" si="9"/>
        <v>Done Inspect</v>
      </c>
      <c r="M60" s="180" t="str">
        <f t="shared" ca="1" si="10"/>
        <v>1. Certified</v>
      </c>
      <c r="N60" s="170" t="s">
        <v>29</v>
      </c>
      <c r="O60" s="169"/>
      <c r="P60" s="169"/>
      <c r="Q60" s="169">
        <v>4010392940</v>
      </c>
    </row>
    <row r="61" spans="1:17">
      <c r="A61" s="169"/>
      <c r="B61" s="164" t="s">
        <v>109</v>
      </c>
      <c r="C61" s="170" t="s">
        <v>73</v>
      </c>
      <c r="D61" s="165">
        <v>1.2</v>
      </c>
      <c r="E61" s="170" t="s">
        <v>74</v>
      </c>
      <c r="F61" s="167">
        <v>46268</v>
      </c>
      <c r="G61" s="169"/>
      <c r="H61" s="167">
        <v>46633</v>
      </c>
      <c r="I61" s="170" t="s">
        <v>23</v>
      </c>
      <c r="J61" s="179">
        <f t="shared" ca="1" si="7"/>
        <v>48</v>
      </c>
      <c r="K61" s="179">
        <f t="shared" ca="1" si="8"/>
        <v>317</v>
      </c>
      <c r="L61" s="179" t="str">
        <f t="shared" ca="1" si="9"/>
        <v>Done Inspect</v>
      </c>
      <c r="M61" s="180" t="str">
        <f t="shared" ca="1" si="10"/>
        <v>1. Certified</v>
      </c>
      <c r="N61" s="170" t="s">
        <v>29</v>
      </c>
      <c r="O61" s="169"/>
      <c r="P61" s="169"/>
      <c r="Q61" s="169">
        <v>4010392940</v>
      </c>
    </row>
    <row r="62" spans="1:17">
      <c r="A62" s="169"/>
      <c r="B62" s="164" t="s">
        <v>110</v>
      </c>
      <c r="C62" s="170" t="s">
        <v>73</v>
      </c>
      <c r="D62" s="165">
        <v>1.5</v>
      </c>
      <c r="E62" s="170" t="s">
        <v>74</v>
      </c>
      <c r="F62" s="167">
        <v>46268</v>
      </c>
      <c r="G62" s="169"/>
      <c r="H62" s="167">
        <v>46633</v>
      </c>
      <c r="I62" s="170" t="s">
        <v>23</v>
      </c>
      <c r="J62" s="179">
        <f t="shared" ca="1" si="7"/>
        <v>48</v>
      </c>
      <c r="K62" s="179">
        <f t="shared" ca="1" si="8"/>
        <v>317</v>
      </c>
      <c r="L62" s="179" t="str">
        <f t="shared" ca="1" si="9"/>
        <v>Done Inspect</v>
      </c>
      <c r="M62" s="180" t="str">
        <f t="shared" ca="1" si="10"/>
        <v>1. Certified</v>
      </c>
      <c r="N62" s="170" t="s">
        <v>29</v>
      </c>
      <c r="O62" s="169"/>
      <c r="P62" s="169"/>
      <c r="Q62" s="169">
        <v>4010392940</v>
      </c>
    </row>
    <row r="63" spans="1:17">
      <c r="A63" s="169"/>
      <c r="B63" s="164" t="s">
        <v>111</v>
      </c>
      <c r="C63" s="170" t="s">
        <v>73</v>
      </c>
      <c r="D63" s="165">
        <v>1.5</v>
      </c>
      <c r="E63" s="170" t="s">
        <v>74</v>
      </c>
      <c r="F63" s="167">
        <v>46268</v>
      </c>
      <c r="G63" s="169"/>
      <c r="H63" s="167">
        <v>46633</v>
      </c>
      <c r="I63" s="170" t="s">
        <v>23</v>
      </c>
      <c r="J63" s="179">
        <f t="shared" ca="1" si="7"/>
        <v>48</v>
      </c>
      <c r="K63" s="179">
        <f t="shared" ca="1" si="8"/>
        <v>317</v>
      </c>
      <c r="L63" s="179" t="str">
        <f t="shared" ca="1" si="9"/>
        <v>Done Inspect</v>
      </c>
      <c r="M63" s="180" t="str">
        <f t="shared" ca="1" si="10"/>
        <v>1. Certified</v>
      </c>
      <c r="N63" s="170" t="s">
        <v>29</v>
      </c>
      <c r="O63" s="169"/>
      <c r="P63" s="169"/>
      <c r="Q63" s="169">
        <v>4010392940</v>
      </c>
    </row>
    <row r="64" spans="1:17">
      <c r="A64" s="169"/>
      <c r="B64" s="164" t="s">
        <v>112</v>
      </c>
      <c r="C64" s="170" t="s">
        <v>73</v>
      </c>
      <c r="D64" s="165">
        <v>1.5</v>
      </c>
      <c r="E64" s="170" t="s">
        <v>74</v>
      </c>
      <c r="F64" s="167">
        <v>46268</v>
      </c>
      <c r="G64" s="169"/>
      <c r="H64" s="167">
        <v>46633</v>
      </c>
      <c r="I64" s="170" t="s">
        <v>23</v>
      </c>
      <c r="J64" s="179">
        <f t="shared" ca="1" si="7"/>
        <v>48</v>
      </c>
      <c r="K64" s="179">
        <f t="shared" ca="1" si="8"/>
        <v>317</v>
      </c>
      <c r="L64" s="179" t="str">
        <f t="shared" ca="1" si="9"/>
        <v>Done Inspect</v>
      </c>
      <c r="M64" s="180" t="str">
        <f t="shared" ca="1" si="10"/>
        <v>1. Certified</v>
      </c>
      <c r="N64" s="170" t="s">
        <v>29</v>
      </c>
      <c r="O64" s="169"/>
      <c r="P64" s="169"/>
      <c r="Q64" s="169">
        <v>4010392940</v>
      </c>
    </row>
    <row r="65" spans="1:17">
      <c r="A65" s="169"/>
      <c r="B65" s="164" t="s">
        <v>113</v>
      </c>
      <c r="C65" s="170" t="s">
        <v>73</v>
      </c>
      <c r="D65" s="165">
        <v>2.7</v>
      </c>
      <c r="E65" s="170" t="s">
        <v>74</v>
      </c>
      <c r="F65" s="167">
        <v>46268</v>
      </c>
      <c r="G65" s="169"/>
      <c r="H65" s="167">
        <v>46633</v>
      </c>
      <c r="I65" s="170" t="s">
        <v>23</v>
      </c>
      <c r="J65" s="179">
        <f t="shared" ca="1" si="7"/>
        <v>48</v>
      </c>
      <c r="K65" s="179">
        <f t="shared" ca="1" si="8"/>
        <v>317</v>
      </c>
      <c r="L65" s="179" t="str">
        <f t="shared" ca="1" si="9"/>
        <v>Done Inspect</v>
      </c>
      <c r="M65" s="180" t="str">
        <f t="shared" ca="1" si="10"/>
        <v>1. Certified</v>
      </c>
      <c r="N65" s="170" t="s">
        <v>29</v>
      </c>
      <c r="O65" s="169"/>
      <c r="P65" s="169"/>
      <c r="Q65" s="169">
        <v>4010392940</v>
      </c>
    </row>
    <row r="66" spans="1:17">
      <c r="A66" s="169"/>
      <c r="B66" s="164" t="s">
        <v>114</v>
      </c>
      <c r="C66" s="170" t="s">
        <v>73</v>
      </c>
      <c r="D66" s="165">
        <v>2.7</v>
      </c>
      <c r="E66" s="170" t="s">
        <v>74</v>
      </c>
      <c r="F66" s="167">
        <v>46268</v>
      </c>
      <c r="G66" s="169"/>
      <c r="H66" s="167">
        <v>46633</v>
      </c>
      <c r="I66" s="170" t="s">
        <v>23</v>
      </c>
      <c r="J66" s="179">
        <f t="shared" ca="1" si="7"/>
        <v>48</v>
      </c>
      <c r="K66" s="179">
        <f t="shared" ca="1" si="8"/>
        <v>317</v>
      </c>
      <c r="L66" s="179" t="str">
        <f t="shared" ca="1" si="9"/>
        <v>Done Inspect</v>
      </c>
      <c r="M66" s="180" t="str">
        <f t="shared" ca="1" si="10"/>
        <v>1. Certified</v>
      </c>
      <c r="N66" s="170" t="s">
        <v>29</v>
      </c>
      <c r="O66" s="169"/>
      <c r="P66" s="169"/>
      <c r="Q66" s="169">
        <v>4010392940</v>
      </c>
    </row>
    <row r="67" spans="1:17">
      <c r="A67" s="169"/>
      <c r="B67" s="164" t="s">
        <v>115</v>
      </c>
      <c r="C67" s="170" t="s">
        <v>73</v>
      </c>
      <c r="D67" s="165">
        <v>2.7</v>
      </c>
      <c r="E67" s="170" t="s">
        <v>74</v>
      </c>
      <c r="F67" s="167">
        <v>46268</v>
      </c>
      <c r="G67" s="169"/>
      <c r="H67" s="167">
        <v>46633</v>
      </c>
      <c r="I67" s="170" t="s">
        <v>23</v>
      </c>
      <c r="J67" s="179">
        <f t="shared" ref="J67:J98" ca="1" si="11">IF(F67="","Need Inspect",TODAY()-F67)</f>
        <v>48</v>
      </c>
      <c r="K67" s="179">
        <f t="shared" ref="K67:K98" ca="1" si="12">IF(H67="","Need Inspect",H67-TODAY())</f>
        <v>317</v>
      </c>
      <c r="L67" s="179" t="str">
        <f t="shared" ref="L67:L98" ca="1" si="13">IF(K67="Need Inspect","Need Inspect",IF(K67&lt;0,"Expired",IF(K67&lt;=60,"Expired in &lt;2 Months","Done Inspect")))</f>
        <v>Done Inspect</v>
      </c>
      <c r="M67" s="180" t="str">
        <f t="shared" ref="M67:M98" ca="1" si="14">IF(OR(J67="Done Inspect",L67="Done Inspect"),"1. Certified",IF(OR(J67="Need Inspect",L67="Need Inspect"),"2. Need Inspect",IF(OR(J67="Last Insp. Date &gt;1 Year",L67="Expired"),"3. Need Certification","4. Prepare for Certification")))</f>
        <v>1. Certified</v>
      </c>
      <c r="N67" s="170" t="s">
        <v>29</v>
      </c>
      <c r="O67" s="169"/>
      <c r="P67" s="169"/>
      <c r="Q67" s="169">
        <v>4010392940</v>
      </c>
    </row>
    <row r="68" spans="1:17">
      <c r="A68" s="169"/>
      <c r="B68" s="168" t="s">
        <v>116</v>
      </c>
      <c r="C68" s="172" t="s">
        <v>117</v>
      </c>
      <c r="D68" s="170">
        <v>2.5</v>
      </c>
      <c r="E68" s="170" t="s">
        <v>118</v>
      </c>
      <c r="F68" s="173">
        <v>45979</v>
      </c>
      <c r="G68" s="169"/>
      <c r="H68" s="173">
        <v>46344</v>
      </c>
      <c r="I68" s="170" t="s">
        <v>23</v>
      </c>
      <c r="J68" s="179">
        <f t="shared" ca="1" si="11"/>
        <v>337</v>
      </c>
      <c r="K68" s="179">
        <f t="shared" ca="1" si="12"/>
        <v>28</v>
      </c>
      <c r="L68" s="179" t="str">
        <f t="shared" ca="1" si="13"/>
        <v>Expired in &lt;2 Months</v>
      </c>
      <c r="M68" s="180" t="str">
        <f t="shared" ca="1" si="14"/>
        <v>4. Prepare for Certification</v>
      </c>
      <c r="N68" s="169"/>
      <c r="O68" s="169"/>
      <c r="P68" s="169"/>
      <c r="Q68" s="169"/>
    </row>
    <row r="69" spans="1:17">
      <c r="A69" s="169"/>
      <c r="B69" s="164" t="s">
        <v>119</v>
      </c>
      <c r="C69" s="172" t="s">
        <v>117</v>
      </c>
      <c r="D69" s="170">
        <v>5</v>
      </c>
      <c r="E69" s="170" t="s">
        <v>21</v>
      </c>
      <c r="F69" s="167">
        <v>45988</v>
      </c>
      <c r="G69" s="170" t="s">
        <v>120</v>
      </c>
      <c r="H69" s="171">
        <v>46366</v>
      </c>
      <c r="I69" s="170" t="s">
        <v>23</v>
      </c>
      <c r="J69" s="179">
        <f t="shared" ca="1" si="11"/>
        <v>328</v>
      </c>
      <c r="K69" s="179">
        <f t="shared" ca="1" si="12"/>
        <v>50</v>
      </c>
      <c r="L69" s="179" t="str">
        <f t="shared" ca="1" si="13"/>
        <v>Expired in &lt;2 Months</v>
      </c>
      <c r="M69" s="180" t="str">
        <f t="shared" ca="1" si="14"/>
        <v>4. Prepare for Certification</v>
      </c>
      <c r="N69" s="169"/>
      <c r="O69" s="169"/>
      <c r="P69" s="169"/>
      <c r="Q69" s="169"/>
    </row>
    <row r="70" spans="1:17">
      <c r="A70" s="169"/>
      <c r="B70" s="174" t="s">
        <v>121</v>
      </c>
      <c r="C70" s="172" t="s">
        <v>117</v>
      </c>
      <c r="D70" s="175">
        <v>10</v>
      </c>
      <c r="E70" s="170" t="s">
        <v>21</v>
      </c>
      <c r="F70" s="167">
        <v>45988</v>
      </c>
      <c r="G70" s="170" t="s">
        <v>122</v>
      </c>
      <c r="H70" s="171">
        <v>46366</v>
      </c>
      <c r="I70" s="170" t="s">
        <v>23</v>
      </c>
      <c r="J70" s="179">
        <f t="shared" ca="1" si="11"/>
        <v>328</v>
      </c>
      <c r="K70" s="179">
        <f t="shared" ca="1" si="12"/>
        <v>50</v>
      </c>
      <c r="L70" s="179" t="str">
        <f t="shared" ca="1" si="13"/>
        <v>Expired in &lt;2 Months</v>
      </c>
      <c r="M70" s="180" t="str">
        <f t="shared" ca="1" si="14"/>
        <v>4. Prepare for Certification</v>
      </c>
      <c r="N70" s="169"/>
      <c r="O70" s="169"/>
      <c r="P70" s="169"/>
      <c r="Q70" s="169"/>
    </row>
    <row r="71" spans="1:17">
      <c r="A71" s="169"/>
      <c r="B71" s="168" t="s">
        <v>123</v>
      </c>
      <c r="C71" s="172" t="s">
        <v>117</v>
      </c>
      <c r="D71" s="170">
        <v>3</v>
      </c>
      <c r="E71" s="170" t="s">
        <v>21</v>
      </c>
      <c r="F71" s="167">
        <v>45988</v>
      </c>
      <c r="G71" s="169"/>
      <c r="H71" s="171">
        <v>46366</v>
      </c>
      <c r="I71" s="170" t="s">
        <v>23</v>
      </c>
      <c r="J71" s="179">
        <f t="shared" ca="1" si="11"/>
        <v>328</v>
      </c>
      <c r="K71" s="179">
        <f t="shared" ca="1" si="12"/>
        <v>50</v>
      </c>
      <c r="L71" s="179" t="str">
        <f t="shared" ca="1" si="13"/>
        <v>Expired in &lt;2 Months</v>
      </c>
      <c r="M71" s="180" t="str">
        <f t="shared" ca="1" si="14"/>
        <v>4. Prepare for Certification</v>
      </c>
      <c r="N71" s="169"/>
      <c r="O71" s="169"/>
      <c r="P71" s="169"/>
      <c r="Q71" s="169"/>
    </row>
    <row r="72" spans="1:17">
      <c r="A72" s="169"/>
      <c r="B72" s="164" t="s">
        <v>124</v>
      </c>
      <c r="C72" s="172" t="s">
        <v>117</v>
      </c>
      <c r="D72" s="165">
        <v>5</v>
      </c>
      <c r="E72" s="170" t="s">
        <v>21</v>
      </c>
      <c r="F72" s="167">
        <v>46052</v>
      </c>
      <c r="G72" s="170" t="s">
        <v>125</v>
      </c>
      <c r="H72" s="167">
        <v>46417</v>
      </c>
      <c r="I72" s="170" t="s">
        <v>23</v>
      </c>
      <c r="J72" s="179">
        <f t="shared" ca="1" si="11"/>
        <v>264</v>
      </c>
      <c r="K72" s="179">
        <f t="shared" ca="1" si="12"/>
        <v>101</v>
      </c>
      <c r="L72" s="179" t="str">
        <f t="shared" ca="1" si="13"/>
        <v>Done Inspect</v>
      </c>
      <c r="M72" s="180" t="str">
        <f t="shared" ca="1" si="14"/>
        <v>1. Certified</v>
      </c>
      <c r="N72" s="169"/>
      <c r="O72" s="169"/>
      <c r="P72" s="169"/>
      <c r="Q72" s="169"/>
    </row>
    <row r="73" spans="1:17">
      <c r="A73" s="169"/>
      <c r="B73" s="168" t="s">
        <v>126</v>
      </c>
      <c r="C73" s="172" t="s">
        <v>117</v>
      </c>
      <c r="D73" s="170">
        <v>1.8</v>
      </c>
      <c r="E73" s="170" t="s">
        <v>21</v>
      </c>
      <c r="F73" s="167">
        <v>46247</v>
      </c>
      <c r="G73" s="169"/>
      <c r="H73" s="166">
        <v>46612</v>
      </c>
      <c r="I73" s="170" t="s">
        <v>23</v>
      </c>
      <c r="J73" s="179">
        <f t="shared" ca="1" si="11"/>
        <v>69</v>
      </c>
      <c r="K73" s="179">
        <f t="shared" ca="1" si="12"/>
        <v>296</v>
      </c>
      <c r="L73" s="179" t="str">
        <f t="shared" ca="1" si="13"/>
        <v>Done Inspect</v>
      </c>
      <c r="M73" s="180" t="str">
        <f t="shared" ca="1" si="14"/>
        <v>1. Certified</v>
      </c>
      <c r="N73" s="169"/>
      <c r="O73" s="169"/>
      <c r="P73" s="169"/>
      <c r="Q73" s="169"/>
    </row>
    <row r="74" spans="1:17">
      <c r="A74" s="169"/>
      <c r="B74" s="164" t="s">
        <v>127</v>
      </c>
      <c r="C74" s="172" t="s">
        <v>117</v>
      </c>
      <c r="D74" s="170">
        <v>1.8</v>
      </c>
      <c r="E74" s="170" t="s">
        <v>21</v>
      </c>
      <c r="F74" s="167">
        <v>46268</v>
      </c>
      <c r="G74" s="169"/>
      <c r="H74" s="167">
        <v>46633</v>
      </c>
      <c r="I74" s="170" t="s">
        <v>23</v>
      </c>
      <c r="J74" s="179">
        <f t="shared" ca="1" si="11"/>
        <v>48</v>
      </c>
      <c r="K74" s="179">
        <f t="shared" ca="1" si="12"/>
        <v>317</v>
      </c>
      <c r="L74" s="179" t="str">
        <f t="shared" ca="1" si="13"/>
        <v>Done Inspect</v>
      </c>
      <c r="M74" s="180" t="str">
        <f t="shared" ca="1" si="14"/>
        <v>1. Certified</v>
      </c>
      <c r="N74" s="170" t="s">
        <v>29</v>
      </c>
      <c r="O74" s="169"/>
      <c r="P74" s="169"/>
      <c r="Q74" s="169">
        <v>4010392940</v>
      </c>
    </row>
    <row r="75" spans="1:17">
      <c r="A75" s="169"/>
      <c r="B75" s="168" t="s">
        <v>128</v>
      </c>
      <c r="C75" s="170" t="s">
        <v>129</v>
      </c>
      <c r="D75" s="170"/>
      <c r="E75" s="170" t="s">
        <v>130</v>
      </c>
      <c r="F75" s="167">
        <v>46293</v>
      </c>
      <c r="G75" s="168" t="s">
        <v>131</v>
      </c>
      <c r="H75" s="167">
        <v>46658</v>
      </c>
      <c r="I75" s="170" t="s">
        <v>23</v>
      </c>
      <c r="J75" s="179">
        <f t="shared" ca="1" si="11"/>
        <v>23</v>
      </c>
      <c r="K75" s="179">
        <f t="shared" ca="1" si="12"/>
        <v>342</v>
      </c>
      <c r="L75" s="179" t="str">
        <f t="shared" ca="1" si="13"/>
        <v>Done Inspect</v>
      </c>
      <c r="M75" s="180" t="str">
        <f t="shared" ca="1" si="14"/>
        <v>1. Certified</v>
      </c>
      <c r="N75" s="170" t="s">
        <v>29</v>
      </c>
      <c r="O75" s="169"/>
      <c r="P75" s="170"/>
      <c r="Q75" s="169">
        <v>4010394682</v>
      </c>
    </row>
    <row r="76" spans="1:17">
      <c r="A76" s="169"/>
      <c r="B76" s="168" t="s">
        <v>132</v>
      </c>
      <c r="C76" s="170" t="s">
        <v>133</v>
      </c>
      <c r="D76" s="170"/>
      <c r="E76" s="170" t="s">
        <v>37</v>
      </c>
      <c r="F76" s="167">
        <v>46293</v>
      </c>
      <c r="G76" s="168" t="s">
        <v>134</v>
      </c>
      <c r="H76" s="167">
        <v>46658</v>
      </c>
      <c r="I76" s="170" t="s">
        <v>23</v>
      </c>
      <c r="J76" s="179">
        <f t="shared" ca="1" si="11"/>
        <v>23</v>
      </c>
      <c r="K76" s="179">
        <f t="shared" ca="1" si="12"/>
        <v>342</v>
      </c>
      <c r="L76" s="179" t="str">
        <f t="shared" ca="1" si="13"/>
        <v>Done Inspect</v>
      </c>
      <c r="M76" s="180" t="str">
        <f t="shared" ca="1" si="14"/>
        <v>1. Certified</v>
      </c>
      <c r="N76" s="170" t="s">
        <v>29</v>
      </c>
      <c r="O76" s="169"/>
      <c r="P76" s="170"/>
      <c r="Q76" s="169">
        <v>4010394682</v>
      </c>
    </row>
    <row r="77" spans="1:17">
      <c r="A77" s="169"/>
      <c r="B77" s="176" t="s">
        <v>135</v>
      </c>
      <c r="C77" s="172" t="s">
        <v>136</v>
      </c>
      <c r="D77" s="170">
        <v>5</v>
      </c>
      <c r="E77" s="170" t="s">
        <v>137</v>
      </c>
      <c r="F77" s="167">
        <v>46108</v>
      </c>
      <c r="G77" s="169"/>
      <c r="H77" s="166">
        <v>46473</v>
      </c>
      <c r="I77" s="170" t="s">
        <v>23</v>
      </c>
      <c r="J77" s="179">
        <f t="shared" ca="1" si="11"/>
        <v>208</v>
      </c>
      <c r="K77" s="179">
        <f t="shared" ca="1" si="12"/>
        <v>157</v>
      </c>
      <c r="L77" s="179" t="str">
        <f t="shared" ca="1" si="13"/>
        <v>Done Inspect</v>
      </c>
      <c r="M77" s="180" t="str">
        <f t="shared" ca="1" si="14"/>
        <v>1. Certified</v>
      </c>
      <c r="N77" s="169"/>
      <c r="O77" s="169"/>
      <c r="P77" s="169"/>
      <c r="Q77" s="169"/>
    </row>
    <row r="78" spans="1:17">
      <c r="A78" s="169"/>
      <c r="B78" s="168" t="s">
        <v>138</v>
      </c>
      <c r="C78" s="172" t="s">
        <v>139</v>
      </c>
      <c r="D78" s="170">
        <v>1.5</v>
      </c>
      <c r="E78" s="170" t="s">
        <v>58</v>
      </c>
      <c r="F78" s="171">
        <v>46108</v>
      </c>
      <c r="G78" s="169"/>
      <c r="H78" s="171">
        <v>46473</v>
      </c>
      <c r="I78" s="170" t="s">
        <v>23</v>
      </c>
      <c r="J78" s="179">
        <f t="shared" ca="1" si="11"/>
        <v>208</v>
      </c>
      <c r="K78" s="179">
        <f t="shared" ca="1" si="12"/>
        <v>157</v>
      </c>
      <c r="L78" s="179" t="str">
        <f t="shared" ca="1" si="13"/>
        <v>Done Inspect</v>
      </c>
      <c r="M78" s="180" t="str">
        <f t="shared" ca="1" si="14"/>
        <v>1. Certified</v>
      </c>
      <c r="N78" s="169"/>
      <c r="O78" s="169"/>
      <c r="P78" s="169"/>
      <c r="Q78" s="169"/>
    </row>
    <row r="79" spans="1:17">
      <c r="A79" s="169"/>
      <c r="B79" s="168" t="s">
        <v>140</v>
      </c>
      <c r="C79" s="172" t="s">
        <v>139</v>
      </c>
      <c r="D79" s="170">
        <v>1.5</v>
      </c>
      <c r="E79" s="170" t="s">
        <v>58</v>
      </c>
      <c r="F79" s="171">
        <v>46108</v>
      </c>
      <c r="G79" s="169"/>
      <c r="H79" s="171">
        <v>46473</v>
      </c>
      <c r="I79" s="170" t="s">
        <v>23</v>
      </c>
      <c r="J79" s="179">
        <f t="shared" ca="1" si="11"/>
        <v>208</v>
      </c>
      <c r="K79" s="179">
        <f t="shared" ca="1" si="12"/>
        <v>157</v>
      </c>
      <c r="L79" s="179" t="str">
        <f t="shared" ca="1" si="13"/>
        <v>Done Inspect</v>
      </c>
      <c r="M79" s="180" t="str">
        <f t="shared" ca="1" si="14"/>
        <v>1. Certified</v>
      </c>
      <c r="N79" s="169"/>
      <c r="O79" s="169"/>
      <c r="P79" s="169"/>
      <c r="Q79" s="169"/>
    </row>
    <row r="80" spans="1:17">
      <c r="A80" s="169"/>
      <c r="B80" s="164" t="s">
        <v>141</v>
      </c>
      <c r="C80" s="172" t="s">
        <v>139</v>
      </c>
      <c r="D80" s="165">
        <v>3</v>
      </c>
      <c r="E80" s="170" t="s">
        <v>58</v>
      </c>
      <c r="F80" s="167">
        <v>46108</v>
      </c>
      <c r="G80" s="168" t="s">
        <v>142</v>
      </c>
      <c r="H80" s="166">
        <v>46612</v>
      </c>
      <c r="I80" s="170" t="s">
        <v>23</v>
      </c>
      <c r="J80" s="179">
        <f t="shared" ca="1" si="11"/>
        <v>208</v>
      </c>
      <c r="K80" s="179">
        <f t="shared" ca="1" si="12"/>
        <v>296</v>
      </c>
      <c r="L80" s="179" t="str">
        <f t="shared" ca="1" si="13"/>
        <v>Done Inspect</v>
      </c>
      <c r="M80" s="180" t="str">
        <f t="shared" ca="1" si="14"/>
        <v>1. Certified</v>
      </c>
      <c r="N80" s="169"/>
      <c r="O80" s="169"/>
      <c r="P80" s="169"/>
      <c r="Q80" s="169"/>
    </row>
    <row r="81" spans="1:17">
      <c r="A81" s="169"/>
      <c r="B81" s="168" t="s">
        <v>143</v>
      </c>
      <c r="C81" s="170" t="s">
        <v>139</v>
      </c>
      <c r="D81" s="170">
        <v>3</v>
      </c>
      <c r="E81" s="170" t="s">
        <v>54</v>
      </c>
      <c r="F81" s="166">
        <v>46247</v>
      </c>
      <c r="G81" s="168" t="s">
        <v>144</v>
      </c>
      <c r="H81" s="166">
        <v>46612</v>
      </c>
      <c r="I81" s="170" t="s">
        <v>23</v>
      </c>
      <c r="J81" s="179">
        <f t="shared" ca="1" si="11"/>
        <v>69</v>
      </c>
      <c r="K81" s="179">
        <f t="shared" ca="1" si="12"/>
        <v>296</v>
      </c>
      <c r="L81" s="179" t="str">
        <f t="shared" ca="1" si="13"/>
        <v>Done Inspect</v>
      </c>
      <c r="M81" s="180" t="str">
        <f t="shared" ca="1" si="14"/>
        <v>1. Certified</v>
      </c>
      <c r="N81" s="169"/>
      <c r="O81" s="169"/>
      <c r="P81" s="169"/>
      <c r="Q81" s="169"/>
    </row>
    <row r="82" spans="1:17">
      <c r="A82" s="169"/>
      <c r="B82" s="168" t="s">
        <v>145</v>
      </c>
      <c r="C82" s="170" t="s">
        <v>139</v>
      </c>
      <c r="D82" s="170">
        <v>3</v>
      </c>
      <c r="E82" s="170" t="s">
        <v>54</v>
      </c>
      <c r="F82" s="166">
        <v>46247</v>
      </c>
      <c r="G82" s="168" t="s">
        <v>146</v>
      </c>
      <c r="H82" s="166">
        <v>46612</v>
      </c>
      <c r="I82" s="170" t="s">
        <v>23</v>
      </c>
      <c r="J82" s="179">
        <f t="shared" ca="1" si="11"/>
        <v>69</v>
      </c>
      <c r="K82" s="179">
        <f t="shared" ca="1" si="12"/>
        <v>296</v>
      </c>
      <c r="L82" s="179" t="str">
        <f t="shared" ca="1" si="13"/>
        <v>Done Inspect</v>
      </c>
      <c r="M82" s="180" t="str">
        <f t="shared" ca="1" si="14"/>
        <v>1. Certified</v>
      </c>
      <c r="N82" s="169"/>
      <c r="O82" s="169"/>
      <c r="P82" s="169"/>
      <c r="Q82" s="169"/>
    </row>
    <row r="83" spans="1:17">
      <c r="A83" s="169"/>
      <c r="B83" s="164" t="s">
        <v>147</v>
      </c>
      <c r="C83" s="170" t="s">
        <v>139</v>
      </c>
      <c r="D83" s="170">
        <v>3</v>
      </c>
      <c r="E83" s="170" t="s">
        <v>54</v>
      </c>
      <c r="F83" s="166">
        <v>46247</v>
      </c>
      <c r="G83" s="168" t="s">
        <v>148</v>
      </c>
      <c r="H83" s="166">
        <v>46612</v>
      </c>
      <c r="I83" s="170" t="s">
        <v>23</v>
      </c>
      <c r="J83" s="179">
        <f t="shared" ca="1" si="11"/>
        <v>69</v>
      </c>
      <c r="K83" s="179">
        <f t="shared" ca="1" si="12"/>
        <v>296</v>
      </c>
      <c r="L83" s="179" t="str">
        <f t="shared" ca="1" si="13"/>
        <v>Done Inspect</v>
      </c>
      <c r="M83" s="180" t="str">
        <f t="shared" ca="1" si="14"/>
        <v>1. Certified</v>
      </c>
      <c r="N83" s="169"/>
      <c r="O83" s="169"/>
      <c r="P83" s="169"/>
      <c r="Q83" s="169"/>
    </row>
    <row r="84" spans="1:17">
      <c r="A84" s="169"/>
      <c r="B84" s="164" t="s">
        <v>149</v>
      </c>
      <c r="C84" s="172" t="s">
        <v>139</v>
      </c>
      <c r="D84" s="170">
        <v>3</v>
      </c>
      <c r="E84" s="170" t="s">
        <v>54</v>
      </c>
      <c r="F84" s="166">
        <v>46247</v>
      </c>
      <c r="G84" s="168" t="s">
        <v>150</v>
      </c>
      <c r="H84" s="166">
        <v>46612</v>
      </c>
      <c r="I84" s="170" t="s">
        <v>23</v>
      </c>
      <c r="J84" s="179">
        <f t="shared" ca="1" si="11"/>
        <v>69</v>
      </c>
      <c r="K84" s="179">
        <f t="shared" ca="1" si="12"/>
        <v>296</v>
      </c>
      <c r="L84" s="179" t="str">
        <f t="shared" ca="1" si="13"/>
        <v>Done Inspect</v>
      </c>
      <c r="M84" s="180" t="str">
        <f t="shared" ca="1" si="14"/>
        <v>1. Certified</v>
      </c>
      <c r="N84" s="169"/>
      <c r="O84" s="169"/>
      <c r="P84" s="169"/>
      <c r="Q84" s="169"/>
    </row>
    <row r="85" spans="1:17">
      <c r="A85" s="169"/>
      <c r="B85" s="168" t="s">
        <v>151</v>
      </c>
      <c r="C85" s="172" t="s">
        <v>139</v>
      </c>
      <c r="D85" s="170">
        <v>3</v>
      </c>
      <c r="E85" s="170" t="s">
        <v>54</v>
      </c>
      <c r="F85" s="166">
        <v>46247</v>
      </c>
      <c r="G85" s="168" t="s">
        <v>152</v>
      </c>
      <c r="H85" s="166">
        <v>46612</v>
      </c>
      <c r="I85" s="170" t="s">
        <v>23</v>
      </c>
      <c r="J85" s="179">
        <f t="shared" ca="1" si="11"/>
        <v>69</v>
      </c>
      <c r="K85" s="179">
        <f t="shared" ca="1" si="12"/>
        <v>296</v>
      </c>
      <c r="L85" s="179" t="str">
        <f t="shared" ca="1" si="13"/>
        <v>Done Inspect</v>
      </c>
      <c r="M85" s="180" t="str">
        <f t="shared" ca="1" si="14"/>
        <v>1. Certified</v>
      </c>
      <c r="N85" s="169"/>
      <c r="O85" s="169"/>
      <c r="P85" s="169"/>
      <c r="Q85" s="169"/>
    </row>
    <row r="86" spans="1:17">
      <c r="A86" s="169"/>
      <c r="B86" s="164" t="s">
        <v>153</v>
      </c>
      <c r="C86" s="170" t="s">
        <v>154</v>
      </c>
      <c r="D86" s="170">
        <v>100</v>
      </c>
      <c r="E86" s="170" t="s">
        <v>118</v>
      </c>
      <c r="F86" s="171">
        <v>46268</v>
      </c>
      <c r="G86" s="169"/>
      <c r="H86" s="167">
        <v>46633</v>
      </c>
      <c r="I86" s="170" t="s">
        <v>23</v>
      </c>
      <c r="J86" s="179">
        <f t="shared" ca="1" si="11"/>
        <v>48</v>
      </c>
      <c r="K86" s="179">
        <f t="shared" ca="1" si="12"/>
        <v>317</v>
      </c>
      <c r="L86" s="179" t="str">
        <f t="shared" ca="1" si="13"/>
        <v>Done Inspect</v>
      </c>
      <c r="M86" s="180" t="str">
        <f t="shared" ca="1" si="14"/>
        <v>1. Certified</v>
      </c>
      <c r="N86" s="170" t="s">
        <v>29</v>
      </c>
      <c r="O86" s="169"/>
      <c r="P86" s="169"/>
      <c r="Q86" s="169">
        <v>4010392940</v>
      </c>
    </row>
    <row r="87" spans="1:17">
      <c r="A87" s="169"/>
      <c r="B87" s="164" t="s">
        <v>155</v>
      </c>
      <c r="C87" s="170" t="s">
        <v>156</v>
      </c>
      <c r="D87" s="170">
        <v>12</v>
      </c>
      <c r="E87" s="170" t="s">
        <v>74</v>
      </c>
      <c r="F87" s="167">
        <v>46268</v>
      </c>
      <c r="G87" s="169"/>
      <c r="H87" s="167">
        <v>46633</v>
      </c>
      <c r="I87" s="170" t="s">
        <v>23</v>
      </c>
      <c r="J87" s="179">
        <f t="shared" ca="1" si="11"/>
        <v>48</v>
      </c>
      <c r="K87" s="179">
        <f t="shared" ca="1" si="12"/>
        <v>317</v>
      </c>
      <c r="L87" s="179" t="str">
        <f t="shared" ca="1" si="13"/>
        <v>Done Inspect</v>
      </c>
      <c r="M87" s="180" t="str">
        <f t="shared" ca="1" si="14"/>
        <v>1. Certified</v>
      </c>
      <c r="N87" s="170" t="s">
        <v>29</v>
      </c>
      <c r="O87" s="169"/>
      <c r="P87" s="169"/>
      <c r="Q87" s="169">
        <v>4010392940</v>
      </c>
    </row>
    <row r="88" spans="1:17">
      <c r="A88" s="169"/>
      <c r="B88" s="164" t="s">
        <v>157</v>
      </c>
      <c r="C88" s="170" t="s">
        <v>156</v>
      </c>
      <c r="D88" s="170">
        <v>12</v>
      </c>
      <c r="E88" s="170" t="s">
        <v>74</v>
      </c>
      <c r="F88" s="171">
        <v>46293</v>
      </c>
      <c r="G88" s="169"/>
      <c r="H88" s="171">
        <v>46658</v>
      </c>
      <c r="I88" s="170" t="s">
        <v>23</v>
      </c>
      <c r="J88" s="179">
        <f t="shared" ca="1" si="11"/>
        <v>23</v>
      </c>
      <c r="K88" s="179">
        <f t="shared" ca="1" si="12"/>
        <v>342</v>
      </c>
      <c r="L88" s="179" t="str">
        <f t="shared" ca="1" si="13"/>
        <v>Done Inspect</v>
      </c>
      <c r="M88" s="180" t="str">
        <f t="shared" ca="1" si="14"/>
        <v>1. Certified</v>
      </c>
      <c r="N88" s="170" t="s">
        <v>29</v>
      </c>
      <c r="O88" s="169"/>
      <c r="P88" s="170" t="s">
        <v>158</v>
      </c>
      <c r="Q88" s="169">
        <v>4010392940</v>
      </c>
    </row>
    <row r="89" spans="1:17">
      <c r="A89" s="169"/>
      <c r="B89" s="164" t="s">
        <v>159</v>
      </c>
      <c r="C89" s="165" t="s">
        <v>160</v>
      </c>
      <c r="D89" s="165">
        <v>100</v>
      </c>
      <c r="E89" s="170" t="s">
        <v>58</v>
      </c>
      <c r="F89" s="167">
        <v>46293</v>
      </c>
      <c r="G89" s="180"/>
      <c r="H89" s="167">
        <v>46658</v>
      </c>
      <c r="I89" s="170" t="s">
        <v>23</v>
      </c>
      <c r="J89" s="179">
        <f t="shared" ca="1" si="11"/>
        <v>23</v>
      </c>
      <c r="K89" s="179">
        <f t="shared" ca="1" si="12"/>
        <v>342</v>
      </c>
      <c r="L89" s="179" t="str">
        <f t="shared" ca="1" si="13"/>
        <v>Done Inspect</v>
      </c>
      <c r="M89" s="180" t="str">
        <f t="shared" ca="1" si="14"/>
        <v>1. Certified</v>
      </c>
      <c r="N89" s="170" t="s">
        <v>29</v>
      </c>
      <c r="O89" s="169"/>
      <c r="P89" s="170"/>
      <c r="Q89" s="169">
        <v>4010394682</v>
      </c>
    </row>
    <row r="90" spans="1:17">
      <c r="A90" s="169"/>
      <c r="B90" s="168" t="s">
        <v>161</v>
      </c>
      <c r="C90" s="170" t="s">
        <v>160</v>
      </c>
      <c r="D90" s="170">
        <v>150</v>
      </c>
      <c r="E90" s="170" t="s">
        <v>54</v>
      </c>
      <c r="F90" s="167">
        <v>46293</v>
      </c>
      <c r="G90" s="169"/>
      <c r="H90" s="167">
        <v>46658</v>
      </c>
      <c r="I90" s="170" t="s">
        <v>23</v>
      </c>
      <c r="J90" s="179">
        <f t="shared" ca="1" si="11"/>
        <v>23</v>
      </c>
      <c r="K90" s="179">
        <f t="shared" ca="1" si="12"/>
        <v>342</v>
      </c>
      <c r="L90" s="179" t="str">
        <f t="shared" ca="1" si="13"/>
        <v>Done Inspect</v>
      </c>
      <c r="M90" s="180" t="str">
        <f t="shared" ca="1" si="14"/>
        <v>1. Certified</v>
      </c>
      <c r="N90" s="170" t="s">
        <v>29</v>
      </c>
      <c r="O90" s="169"/>
      <c r="P90" s="170"/>
      <c r="Q90" s="169">
        <v>4010394682</v>
      </c>
    </row>
    <row r="91" spans="1:17">
      <c r="A91" s="169"/>
      <c r="B91" s="168" t="s">
        <v>162</v>
      </c>
      <c r="C91" s="170" t="s">
        <v>160</v>
      </c>
      <c r="D91" s="170">
        <v>200</v>
      </c>
      <c r="E91" s="170" t="s">
        <v>54</v>
      </c>
      <c r="F91" s="167">
        <v>46027</v>
      </c>
      <c r="G91" s="169"/>
      <c r="H91" s="171">
        <v>46392</v>
      </c>
      <c r="I91" s="170" t="s">
        <v>23</v>
      </c>
      <c r="J91" s="179">
        <f t="shared" ca="1" si="11"/>
        <v>289</v>
      </c>
      <c r="K91" s="179">
        <f t="shared" ca="1" si="12"/>
        <v>76</v>
      </c>
      <c r="L91" s="179" t="str">
        <f t="shared" ca="1" si="13"/>
        <v>Done Inspect</v>
      </c>
      <c r="M91" s="180" t="str">
        <f t="shared" ca="1" si="14"/>
        <v>1. Certified</v>
      </c>
      <c r="N91" s="169"/>
      <c r="O91" s="169"/>
      <c r="P91" s="169"/>
      <c r="Q91" s="169"/>
    </row>
    <row r="92" spans="1:17">
      <c r="A92" s="169"/>
      <c r="B92" s="164" t="s">
        <v>163</v>
      </c>
      <c r="C92" s="170" t="s">
        <v>160</v>
      </c>
      <c r="D92" s="170">
        <v>30</v>
      </c>
      <c r="E92" s="170" t="s">
        <v>58</v>
      </c>
      <c r="F92" s="167">
        <v>46266</v>
      </c>
      <c r="G92" s="169"/>
      <c r="H92" s="171">
        <v>46631</v>
      </c>
      <c r="I92" s="170" t="s">
        <v>23</v>
      </c>
      <c r="J92" s="179">
        <f t="shared" ca="1" si="11"/>
        <v>50</v>
      </c>
      <c r="K92" s="179">
        <f t="shared" ca="1" si="12"/>
        <v>315</v>
      </c>
      <c r="L92" s="179" t="str">
        <f t="shared" ca="1" si="13"/>
        <v>Done Inspect</v>
      </c>
      <c r="M92" s="180" t="str">
        <f t="shared" ca="1" si="14"/>
        <v>1. Certified</v>
      </c>
      <c r="N92" s="170" t="s">
        <v>29</v>
      </c>
      <c r="O92" s="169"/>
      <c r="P92" s="169"/>
      <c r="Q92" s="169">
        <v>4010392940</v>
      </c>
    </row>
    <row r="93" spans="1:17">
      <c r="A93" s="169"/>
      <c r="B93" s="164" t="s">
        <v>164</v>
      </c>
      <c r="C93" s="170" t="s">
        <v>165</v>
      </c>
      <c r="D93" s="177">
        <v>1.0209999999999999</v>
      </c>
      <c r="E93" s="170" t="s">
        <v>74</v>
      </c>
      <c r="F93" s="167">
        <v>46268</v>
      </c>
      <c r="G93" s="169"/>
      <c r="H93" s="167">
        <v>46633</v>
      </c>
      <c r="I93" s="170" t="s">
        <v>23</v>
      </c>
      <c r="J93" s="179">
        <f t="shared" ca="1" si="11"/>
        <v>48</v>
      </c>
      <c r="K93" s="179">
        <f t="shared" ca="1" si="12"/>
        <v>317</v>
      </c>
      <c r="L93" s="179" t="str">
        <f t="shared" ca="1" si="13"/>
        <v>Done Inspect</v>
      </c>
      <c r="M93" s="180" t="str">
        <f t="shared" ca="1" si="14"/>
        <v>1. Certified</v>
      </c>
      <c r="N93" s="170" t="s">
        <v>29</v>
      </c>
      <c r="O93" s="169"/>
      <c r="P93" s="169"/>
      <c r="Q93" s="169">
        <v>4010392940</v>
      </c>
    </row>
    <row r="94" spans="1:17">
      <c r="A94" s="169"/>
      <c r="B94" s="164" t="s">
        <v>166</v>
      </c>
      <c r="C94" s="170" t="s">
        <v>165</v>
      </c>
      <c r="D94" s="177">
        <v>1.0209999999999999</v>
      </c>
      <c r="E94" s="170" t="s">
        <v>74</v>
      </c>
      <c r="F94" s="167">
        <v>46268</v>
      </c>
      <c r="G94" s="169"/>
      <c r="H94" s="167">
        <v>46633</v>
      </c>
      <c r="I94" s="170" t="s">
        <v>23</v>
      </c>
      <c r="J94" s="179">
        <f t="shared" ca="1" si="11"/>
        <v>48</v>
      </c>
      <c r="K94" s="179">
        <f t="shared" ca="1" si="12"/>
        <v>317</v>
      </c>
      <c r="L94" s="179" t="str">
        <f t="shared" ca="1" si="13"/>
        <v>Done Inspect</v>
      </c>
      <c r="M94" s="180" t="str">
        <f t="shared" ca="1" si="14"/>
        <v>1. Certified</v>
      </c>
      <c r="N94" s="170" t="s">
        <v>29</v>
      </c>
      <c r="O94" s="169"/>
      <c r="P94" s="169"/>
      <c r="Q94" s="169">
        <v>4010392940</v>
      </c>
    </row>
    <row r="95" spans="1:17">
      <c r="A95" s="169"/>
      <c r="B95" s="164" t="s">
        <v>167</v>
      </c>
      <c r="C95" s="170" t="s">
        <v>165</v>
      </c>
      <c r="D95" s="177">
        <v>1.0209999999999999</v>
      </c>
      <c r="E95" s="170" t="s">
        <v>74</v>
      </c>
      <c r="F95" s="167">
        <v>46268</v>
      </c>
      <c r="G95" s="169"/>
      <c r="H95" s="167">
        <v>46633</v>
      </c>
      <c r="I95" s="170" t="s">
        <v>23</v>
      </c>
      <c r="J95" s="179">
        <f t="shared" ca="1" si="11"/>
        <v>48</v>
      </c>
      <c r="K95" s="179">
        <f t="shared" ca="1" si="12"/>
        <v>317</v>
      </c>
      <c r="L95" s="179" t="str">
        <f t="shared" ca="1" si="13"/>
        <v>Done Inspect</v>
      </c>
      <c r="M95" s="180" t="str">
        <f t="shared" ca="1" si="14"/>
        <v>1. Certified</v>
      </c>
      <c r="N95" s="170" t="s">
        <v>29</v>
      </c>
      <c r="O95" s="169"/>
      <c r="P95" s="169"/>
      <c r="Q95" s="169">
        <v>4010392940</v>
      </c>
    </row>
    <row r="96" spans="1:17">
      <c r="A96" s="169"/>
      <c r="B96" s="164" t="s">
        <v>168</v>
      </c>
      <c r="C96" s="170" t="s">
        <v>165</v>
      </c>
      <c r="D96" s="177">
        <v>1.0209999999999999</v>
      </c>
      <c r="E96" s="170" t="s">
        <v>74</v>
      </c>
      <c r="F96" s="167">
        <v>46268</v>
      </c>
      <c r="G96" s="169"/>
      <c r="H96" s="167">
        <v>46633</v>
      </c>
      <c r="I96" s="170" t="s">
        <v>23</v>
      </c>
      <c r="J96" s="179">
        <f t="shared" ca="1" si="11"/>
        <v>48</v>
      </c>
      <c r="K96" s="179">
        <f t="shared" ca="1" si="12"/>
        <v>317</v>
      </c>
      <c r="L96" s="179" t="str">
        <f t="shared" ca="1" si="13"/>
        <v>Done Inspect</v>
      </c>
      <c r="M96" s="180" t="str">
        <f t="shared" ca="1" si="14"/>
        <v>1. Certified</v>
      </c>
      <c r="N96" s="170" t="s">
        <v>29</v>
      </c>
      <c r="O96" s="169"/>
      <c r="P96" s="169"/>
      <c r="Q96" s="169">
        <v>4010392940</v>
      </c>
    </row>
    <row r="97" spans="1:17">
      <c r="A97" s="169"/>
      <c r="B97" s="164" t="s">
        <v>169</v>
      </c>
      <c r="C97" s="170" t="s">
        <v>165</v>
      </c>
      <c r="D97" s="177">
        <v>1.8140000000000001</v>
      </c>
      <c r="E97" s="170" t="s">
        <v>74</v>
      </c>
      <c r="F97" s="167">
        <v>46268</v>
      </c>
      <c r="G97" s="169"/>
      <c r="H97" s="167">
        <v>46633</v>
      </c>
      <c r="I97" s="170" t="s">
        <v>23</v>
      </c>
      <c r="J97" s="179">
        <f t="shared" ca="1" si="11"/>
        <v>48</v>
      </c>
      <c r="K97" s="179">
        <f t="shared" ca="1" si="12"/>
        <v>317</v>
      </c>
      <c r="L97" s="179" t="str">
        <f t="shared" ca="1" si="13"/>
        <v>Done Inspect</v>
      </c>
      <c r="M97" s="180" t="str">
        <f t="shared" ca="1" si="14"/>
        <v>1. Certified</v>
      </c>
      <c r="N97" s="170" t="s">
        <v>29</v>
      </c>
      <c r="O97" s="169"/>
      <c r="P97" s="169"/>
      <c r="Q97" s="169">
        <v>4010392940</v>
      </c>
    </row>
    <row r="98" spans="1:17">
      <c r="A98" s="169"/>
      <c r="B98" s="164" t="s">
        <v>170</v>
      </c>
      <c r="C98" s="170" t="s">
        <v>165</v>
      </c>
      <c r="D98" s="177">
        <v>1.8140000000000001</v>
      </c>
      <c r="E98" s="170" t="s">
        <v>74</v>
      </c>
      <c r="F98" s="167">
        <v>46268</v>
      </c>
      <c r="G98" s="169"/>
      <c r="H98" s="167">
        <v>46633</v>
      </c>
      <c r="I98" s="170" t="s">
        <v>23</v>
      </c>
      <c r="J98" s="179">
        <f t="shared" ca="1" si="11"/>
        <v>48</v>
      </c>
      <c r="K98" s="179">
        <f t="shared" ca="1" si="12"/>
        <v>317</v>
      </c>
      <c r="L98" s="179" t="str">
        <f t="shared" ca="1" si="13"/>
        <v>Done Inspect</v>
      </c>
      <c r="M98" s="180" t="str">
        <f t="shared" ca="1" si="14"/>
        <v>1. Certified</v>
      </c>
      <c r="N98" s="170" t="s">
        <v>29</v>
      </c>
      <c r="O98" s="169"/>
      <c r="P98" s="169"/>
      <c r="Q98" s="169">
        <v>4010392940</v>
      </c>
    </row>
    <row r="99" spans="1:17">
      <c r="A99" s="169"/>
      <c r="B99" s="164" t="s">
        <v>171</v>
      </c>
      <c r="C99" s="170" t="s">
        <v>165</v>
      </c>
      <c r="D99" s="177">
        <v>1.8140000000000001</v>
      </c>
      <c r="E99" s="170" t="s">
        <v>74</v>
      </c>
      <c r="F99" s="167">
        <v>46268</v>
      </c>
      <c r="G99" s="169"/>
      <c r="H99" s="167">
        <v>46633</v>
      </c>
      <c r="I99" s="170" t="s">
        <v>23</v>
      </c>
      <c r="J99" s="179">
        <f t="shared" ref="J99:J114" ca="1" si="15">IF(F99="","Need Inspect",TODAY()-F99)</f>
        <v>48</v>
      </c>
      <c r="K99" s="179">
        <f t="shared" ref="K99:K114" ca="1" si="16">IF(H99="","Need Inspect",H99-TODAY())</f>
        <v>317</v>
      </c>
      <c r="L99" s="179" t="str">
        <f t="shared" ref="L99:L114" ca="1" si="17">IF(K99="Need Inspect","Need Inspect",IF(K99&lt;0,"Expired",IF(K99&lt;=60,"Expired in &lt;2 Months","Done Inspect")))</f>
        <v>Done Inspect</v>
      </c>
      <c r="M99" s="180" t="str">
        <f t="shared" ref="M99:M114" ca="1" si="18">IF(OR(J99="Done Inspect",L99="Done Inspect"),"1. Certified",IF(OR(J99="Need Inspect",L99="Need Inspect"),"2. Need Inspect",IF(OR(J99="Last Insp. Date &gt;1 Year",L99="Expired"),"3. Need Certification","4. Prepare for Certification")))</f>
        <v>1. Certified</v>
      </c>
      <c r="N99" s="170" t="s">
        <v>29</v>
      </c>
      <c r="O99" s="169"/>
      <c r="P99" s="169"/>
      <c r="Q99" s="169">
        <v>4010392940</v>
      </c>
    </row>
    <row r="100" spans="1:17">
      <c r="A100" s="169"/>
      <c r="B100" s="164" t="s">
        <v>172</v>
      </c>
      <c r="C100" s="170" t="s">
        <v>165</v>
      </c>
      <c r="D100" s="177">
        <v>1.8140000000000001</v>
      </c>
      <c r="E100" s="170" t="s">
        <v>74</v>
      </c>
      <c r="F100" s="167">
        <v>46268</v>
      </c>
      <c r="G100" s="169"/>
      <c r="H100" s="167">
        <v>46633</v>
      </c>
      <c r="I100" s="170" t="s">
        <v>23</v>
      </c>
      <c r="J100" s="179">
        <f t="shared" ca="1" si="15"/>
        <v>48</v>
      </c>
      <c r="K100" s="179">
        <f t="shared" ca="1" si="16"/>
        <v>317</v>
      </c>
      <c r="L100" s="179" t="str">
        <f t="shared" ca="1" si="17"/>
        <v>Done Inspect</v>
      </c>
      <c r="M100" s="180" t="str">
        <f t="shared" ca="1" si="18"/>
        <v>1. Certified</v>
      </c>
      <c r="N100" s="170" t="s">
        <v>29</v>
      </c>
      <c r="O100" s="169"/>
      <c r="P100" s="169"/>
      <c r="Q100" s="169">
        <v>4010392940</v>
      </c>
    </row>
    <row r="101" spans="1:17">
      <c r="A101" s="169"/>
      <c r="B101" s="164" t="s">
        <v>173</v>
      </c>
      <c r="C101" s="170" t="s">
        <v>165</v>
      </c>
      <c r="D101" s="177">
        <v>1.8140000000000001</v>
      </c>
      <c r="E101" s="170" t="s">
        <v>74</v>
      </c>
      <c r="F101" s="167">
        <v>46268</v>
      </c>
      <c r="G101" s="169"/>
      <c r="H101" s="167">
        <v>46633</v>
      </c>
      <c r="I101" s="170" t="s">
        <v>23</v>
      </c>
      <c r="J101" s="179">
        <f t="shared" ca="1" si="15"/>
        <v>48</v>
      </c>
      <c r="K101" s="179">
        <f t="shared" ca="1" si="16"/>
        <v>317</v>
      </c>
      <c r="L101" s="179" t="str">
        <f t="shared" ca="1" si="17"/>
        <v>Done Inspect</v>
      </c>
      <c r="M101" s="180" t="str">
        <f t="shared" ca="1" si="18"/>
        <v>1. Certified</v>
      </c>
      <c r="N101" s="170" t="s">
        <v>29</v>
      </c>
      <c r="O101" s="169"/>
      <c r="P101" s="169"/>
      <c r="Q101" s="169">
        <v>4010392940</v>
      </c>
    </row>
    <row r="102" spans="1:17">
      <c r="A102" s="169"/>
      <c r="B102" s="164" t="s">
        <v>174</v>
      </c>
      <c r="C102" s="170" t="s">
        <v>165</v>
      </c>
      <c r="D102" s="177">
        <v>1.8140000000000001</v>
      </c>
      <c r="E102" s="170" t="s">
        <v>74</v>
      </c>
      <c r="F102" s="167">
        <v>46268</v>
      </c>
      <c r="G102" s="169"/>
      <c r="H102" s="167">
        <v>46633</v>
      </c>
      <c r="I102" s="170" t="s">
        <v>23</v>
      </c>
      <c r="J102" s="179">
        <f t="shared" ca="1" si="15"/>
        <v>48</v>
      </c>
      <c r="K102" s="179">
        <f t="shared" ca="1" si="16"/>
        <v>317</v>
      </c>
      <c r="L102" s="179" t="str">
        <f t="shared" ca="1" si="17"/>
        <v>Done Inspect</v>
      </c>
      <c r="M102" s="180" t="str">
        <f t="shared" ca="1" si="18"/>
        <v>1. Certified</v>
      </c>
      <c r="N102" s="170" t="s">
        <v>29</v>
      </c>
      <c r="O102" s="169"/>
      <c r="P102" s="169"/>
      <c r="Q102" s="169">
        <v>4010392940</v>
      </c>
    </row>
    <row r="103" spans="1:17">
      <c r="A103" s="169"/>
      <c r="B103" s="164" t="s">
        <v>175</v>
      </c>
      <c r="C103" s="170" t="s">
        <v>165</v>
      </c>
      <c r="D103" s="177">
        <v>1.8140000000000001</v>
      </c>
      <c r="E103" s="170" t="s">
        <v>74</v>
      </c>
      <c r="F103" s="167">
        <v>46268</v>
      </c>
      <c r="G103" s="169"/>
      <c r="H103" s="167">
        <v>46633</v>
      </c>
      <c r="I103" s="170" t="s">
        <v>23</v>
      </c>
      <c r="J103" s="179">
        <f t="shared" ca="1" si="15"/>
        <v>48</v>
      </c>
      <c r="K103" s="179">
        <f t="shared" ca="1" si="16"/>
        <v>317</v>
      </c>
      <c r="L103" s="179" t="str">
        <f t="shared" ca="1" si="17"/>
        <v>Done Inspect</v>
      </c>
      <c r="M103" s="180" t="str">
        <f t="shared" ca="1" si="18"/>
        <v>1. Certified</v>
      </c>
      <c r="N103" s="170" t="s">
        <v>29</v>
      </c>
      <c r="O103" s="169"/>
      <c r="P103" s="169"/>
      <c r="Q103" s="169">
        <v>4010392940</v>
      </c>
    </row>
    <row r="104" spans="1:17">
      <c r="A104" s="169"/>
      <c r="B104" s="164" t="s">
        <v>176</v>
      </c>
      <c r="C104" s="170" t="s">
        <v>165</v>
      </c>
      <c r="D104" s="177">
        <v>4.0819999999999999</v>
      </c>
      <c r="E104" s="170" t="s">
        <v>74</v>
      </c>
      <c r="F104" s="167">
        <v>46268</v>
      </c>
      <c r="G104" s="169"/>
      <c r="H104" s="167">
        <v>46633</v>
      </c>
      <c r="I104" s="170" t="s">
        <v>23</v>
      </c>
      <c r="J104" s="179">
        <f t="shared" ca="1" si="15"/>
        <v>48</v>
      </c>
      <c r="K104" s="179">
        <f t="shared" ca="1" si="16"/>
        <v>317</v>
      </c>
      <c r="L104" s="179" t="str">
        <f t="shared" ca="1" si="17"/>
        <v>Done Inspect</v>
      </c>
      <c r="M104" s="180" t="str">
        <f t="shared" ca="1" si="18"/>
        <v>1. Certified</v>
      </c>
      <c r="N104" s="170" t="s">
        <v>29</v>
      </c>
      <c r="O104" s="169"/>
      <c r="P104" s="169"/>
      <c r="Q104" s="169">
        <v>4010392940</v>
      </c>
    </row>
    <row r="105" spans="1:17">
      <c r="A105" s="169"/>
      <c r="B105" s="164" t="s">
        <v>177</v>
      </c>
      <c r="C105" s="170" t="s">
        <v>165</v>
      </c>
      <c r="D105" s="177">
        <v>4.0819999999999999</v>
      </c>
      <c r="E105" s="170" t="s">
        <v>74</v>
      </c>
      <c r="F105" s="167">
        <v>46268</v>
      </c>
      <c r="G105" s="169"/>
      <c r="H105" s="167">
        <v>46633</v>
      </c>
      <c r="I105" s="170" t="s">
        <v>23</v>
      </c>
      <c r="J105" s="179">
        <f t="shared" ca="1" si="15"/>
        <v>48</v>
      </c>
      <c r="K105" s="179">
        <f t="shared" ca="1" si="16"/>
        <v>317</v>
      </c>
      <c r="L105" s="179" t="str">
        <f t="shared" ca="1" si="17"/>
        <v>Done Inspect</v>
      </c>
      <c r="M105" s="180" t="str">
        <f t="shared" ca="1" si="18"/>
        <v>1. Certified</v>
      </c>
      <c r="N105" s="170" t="s">
        <v>29</v>
      </c>
      <c r="O105" s="169"/>
      <c r="P105" s="169"/>
      <c r="Q105" s="169">
        <v>4010392940</v>
      </c>
    </row>
    <row r="106" spans="1:17">
      <c r="A106" s="169"/>
      <c r="B106" s="164" t="s">
        <v>178</v>
      </c>
      <c r="C106" s="170" t="s">
        <v>165</v>
      </c>
      <c r="D106" s="177">
        <v>4.0819999999999999</v>
      </c>
      <c r="E106" s="170" t="s">
        <v>74</v>
      </c>
      <c r="F106" s="167">
        <v>46268</v>
      </c>
      <c r="G106" s="169"/>
      <c r="H106" s="167">
        <v>46633</v>
      </c>
      <c r="I106" s="170" t="s">
        <v>23</v>
      </c>
      <c r="J106" s="179">
        <f t="shared" ca="1" si="15"/>
        <v>48</v>
      </c>
      <c r="K106" s="179">
        <f t="shared" ca="1" si="16"/>
        <v>317</v>
      </c>
      <c r="L106" s="179" t="str">
        <f t="shared" ca="1" si="17"/>
        <v>Done Inspect</v>
      </c>
      <c r="M106" s="180" t="str">
        <f t="shared" ca="1" si="18"/>
        <v>1. Certified</v>
      </c>
      <c r="N106" s="170" t="s">
        <v>29</v>
      </c>
      <c r="O106" s="169"/>
      <c r="P106" s="169"/>
      <c r="Q106" s="169">
        <v>4010392940</v>
      </c>
    </row>
    <row r="107" spans="1:17">
      <c r="A107" s="169"/>
      <c r="B107" s="164" t="s">
        <v>179</v>
      </c>
      <c r="C107" s="170" t="s">
        <v>165</v>
      </c>
      <c r="D107" s="177">
        <v>4.0819999999999999</v>
      </c>
      <c r="E107" s="170" t="s">
        <v>74</v>
      </c>
      <c r="F107" s="167">
        <v>46268</v>
      </c>
      <c r="G107" s="169"/>
      <c r="H107" s="167">
        <v>46633</v>
      </c>
      <c r="I107" s="170" t="s">
        <v>23</v>
      </c>
      <c r="J107" s="179">
        <f t="shared" ca="1" si="15"/>
        <v>48</v>
      </c>
      <c r="K107" s="179">
        <f t="shared" ca="1" si="16"/>
        <v>317</v>
      </c>
      <c r="L107" s="179" t="str">
        <f t="shared" ca="1" si="17"/>
        <v>Done Inspect</v>
      </c>
      <c r="M107" s="180" t="str">
        <f t="shared" ca="1" si="18"/>
        <v>1. Certified</v>
      </c>
      <c r="N107" s="170" t="s">
        <v>29</v>
      </c>
      <c r="O107" s="169"/>
      <c r="P107" s="169"/>
      <c r="Q107" s="169">
        <v>4010392940</v>
      </c>
    </row>
    <row r="108" spans="1:17">
      <c r="A108" s="169"/>
      <c r="B108" s="164" t="s">
        <v>180</v>
      </c>
      <c r="C108" s="170" t="s">
        <v>165</v>
      </c>
      <c r="D108" s="177">
        <v>4.0819999999999999</v>
      </c>
      <c r="E108" s="170" t="s">
        <v>74</v>
      </c>
      <c r="F108" s="167">
        <v>46268</v>
      </c>
      <c r="G108" s="169"/>
      <c r="H108" s="167">
        <v>46633</v>
      </c>
      <c r="I108" s="170" t="s">
        <v>23</v>
      </c>
      <c r="J108" s="179">
        <f t="shared" ca="1" si="15"/>
        <v>48</v>
      </c>
      <c r="K108" s="179">
        <f t="shared" ca="1" si="16"/>
        <v>317</v>
      </c>
      <c r="L108" s="179" t="str">
        <f t="shared" ca="1" si="17"/>
        <v>Done Inspect</v>
      </c>
      <c r="M108" s="180" t="str">
        <f t="shared" ca="1" si="18"/>
        <v>1. Certified</v>
      </c>
      <c r="N108" s="170" t="s">
        <v>29</v>
      </c>
      <c r="O108" s="169"/>
      <c r="P108" s="169"/>
      <c r="Q108" s="169">
        <v>4010392940</v>
      </c>
    </row>
    <row r="109" spans="1:17">
      <c r="A109" s="169"/>
      <c r="B109" s="164" t="s">
        <v>181</v>
      </c>
      <c r="C109" s="170" t="s">
        <v>165</v>
      </c>
      <c r="D109" s="177">
        <v>4.0819999999999999</v>
      </c>
      <c r="E109" s="170" t="s">
        <v>74</v>
      </c>
      <c r="F109" s="167">
        <v>46268</v>
      </c>
      <c r="G109" s="169"/>
      <c r="H109" s="167">
        <v>46633</v>
      </c>
      <c r="I109" s="170" t="s">
        <v>23</v>
      </c>
      <c r="J109" s="179">
        <f t="shared" ca="1" si="15"/>
        <v>48</v>
      </c>
      <c r="K109" s="179">
        <f t="shared" ca="1" si="16"/>
        <v>317</v>
      </c>
      <c r="L109" s="179" t="str">
        <f t="shared" ca="1" si="17"/>
        <v>Done Inspect</v>
      </c>
      <c r="M109" s="180" t="str">
        <f t="shared" ca="1" si="18"/>
        <v>1. Certified</v>
      </c>
      <c r="N109" s="170" t="s">
        <v>29</v>
      </c>
      <c r="O109" s="169"/>
      <c r="P109" s="169"/>
      <c r="Q109" s="169">
        <v>4010392940</v>
      </c>
    </row>
    <row r="110" spans="1:17">
      <c r="A110" s="169"/>
      <c r="B110" s="164" t="s">
        <v>182</v>
      </c>
      <c r="C110" s="170" t="s">
        <v>165</v>
      </c>
      <c r="D110" s="177">
        <v>4.0819999999999999</v>
      </c>
      <c r="E110" s="170" t="s">
        <v>74</v>
      </c>
      <c r="F110" s="167">
        <v>46268</v>
      </c>
      <c r="G110" s="169"/>
      <c r="H110" s="167">
        <v>46633</v>
      </c>
      <c r="I110" s="170" t="s">
        <v>23</v>
      </c>
      <c r="J110" s="179">
        <f t="shared" ca="1" si="15"/>
        <v>48</v>
      </c>
      <c r="K110" s="179">
        <f t="shared" ca="1" si="16"/>
        <v>317</v>
      </c>
      <c r="L110" s="179" t="str">
        <f t="shared" ca="1" si="17"/>
        <v>Done Inspect</v>
      </c>
      <c r="M110" s="180" t="str">
        <f t="shared" ca="1" si="18"/>
        <v>1. Certified</v>
      </c>
      <c r="N110" s="170" t="s">
        <v>29</v>
      </c>
      <c r="O110" s="169"/>
      <c r="P110" s="169"/>
      <c r="Q110" s="169">
        <v>4010392940</v>
      </c>
    </row>
    <row r="111" spans="1:17">
      <c r="A111" s="169"/>
      <c r="B111" s="164" t="s">
        <v>183</v>
      </c>
      <c r="C111" s="170" t="s">
        <v>165</v>
      </c>
      <c r="D111" s="177">
        <v>4.0819999999999999</v>
      </c>
      <c r="E111" s="170" t="s">
        <v>74</v>
      </c>
      <c r="F111" s="167">
        <v>46268</v>
      </c>
      <c r="G111" s="169"/>
      <c r="H111" s="167">
        <v>46633</v>
      </c>
      <c r="I111" s="170" t="s">
        <v>23</v>
      </c>
      <c r="J111" s="179">
        <f t="shared" ca="1" si="15"/>
        <v>48</v>
      </c>
      <c r="K111" s="179">
        <f t="shared" ca="1" si="16"/>
        <v>317</v>
      </c>
      <c r="L111" s="179" t="str">
        <f t="shared" ca="1" si="17"/>
        <v>Done Inspect</v>
      </c>
      <c r="M111" s="180" t="str">
        <f t="shared" ca="1" si="18"/>
        <v>1. Certified</v>
      </c>
      <c r="N111" s="170" t="s">
        <v>29</v>
      </c>
      <c r="O111" s="169"/>
      <c r="P111" s="169"/>
      <c r="Q111" s="169">
        <v>4010392940</v>
      </c>
    </row>
    <row r="112" spans="1:17">
      <c r="A112" s="169"/>
      <c r="B112" s="164" t="s">
        <v>184</v>
      </c>
      <c r="C112" s="170" t="s">
        <v>165</v>
      </c>
      <c r="D112" s="177">
        <v>4.0819999999999999</v>
      </c>
      <c r="E112" s="170" t="s">
        <v>74</v>
      </c>
      <c r="F112" s="167">
        <v>46268</v>
      </c>
      <c r="G112" s="169"/>
      <c r="H112" s="167">
        <v>46633</v>
      </c>
      <c r="I112" s="170" t="s">
        <v>23</v>
      </c>
      <c r="J112" s="179">
        <f t="shared" ca="1" si="15"/>
        <v>48</v>
      </c>
      <c r="K112" s="179">
        <f t="shared" ca="1" si="16"/>
        <v>317</v>
      </c>
      <c r="L112" s="179" t="str">
        <f t="shared" ca="1" si="17"/>
        <v>Done Inspect</v>
      </c>
      <c r="M112" s="180" t="str">
        <f t="shared" ca="1" si="18"/>
        <v>1. Certified</v>
      </c>
      <c r="N112" s="170" t="s">
        <v>29</v>
      </c>
      <c r="O112" s="169"/>
      <c r="P112" s="169"/>
      <c r="Q112" s="169">
        <v>4010392940</v>
      </c>
    </row>
    <row r="113" spans="1:17">
      <c r="A113" s="169"/>
      <c r="B113" s="164" t="s">
        <v>185</v>
      </c>
      <c r="C113" s="170" t="s">
        <v>165</v>
      </c>
      <c r="D113" s="177">
        <v>4.0819999999999999</v>
      </c>
      <c r="E113" s="170" t="s">
        <v>74</v>
      </c>
      <c r="F113" s="167">
        <v>46268</v>
      </c>
      <c r="G113" s="169"/>
      <c r="H113" s="167">
        <v>46633</v>
      </c>
      <c r="I113" s="170" t="s">
        <v>23</v>
      </c>
      <c r="J113" s="179">
        <f t="shared" ca="1" si="15"/>
        <v>48</v>
      </c>
      <c r="K113" s="179">
        <f t="shared" ca="1" si="16"/>
        <v>317</v>
      </c>
      <c r="L113" s="179" t="str">
        <f t="shared" ca="1" si="17"/>
        <v>Done Inspect</v>
      </c>
      <c r="M113" s="180" t="str">
        <f t="shared" ca="1" si="18"/>
        <v>1. Certified</v>
      </c>
      <c r="N113" s="170" t="s">
        <v>29</v>
      </c>
      <c r="O113" s="169"/>
      <c r="P113" s="169"/>
      <c r="Q113" s="169">
        <v>4010392940</v>
      </c>
    </row>
    <row r="114" spans="1:17">
      <c r="A114" s="169"/>
      <c r="B114" s="164" t="s">
        <v>186</v>
      </c>
      <c r="C114" s="170" t="s">
        <v>165</v>
      </c>
      <c r="D114" s="177">
        <v>4.0819999999999999</v>
      </c>
      <c r="E114" s="170" t="s">
        <v>74</v>
      </c>
      <c r="F114" s="167">
        <v>46268</v>
      </c>
      <c r="G114" s="169"/>
      <c r="H114" s="167">
        <v>46633</v>
      </c>
      <c r="I114" s="170" t="s">
        <v>23</v>
      </c>
      <c r="J114" s="179">
        <f t="shared" ca="1" si="15"/>
        <v>48</v>
      </c>
      <c r="K114" s="179">
        <f t="shared" ca="1" si="16"/>
        <v>317</v>
      </c>
      <c r="L114" s="179" t="str">
        <f t="shared" ca="1" si="17"/>
        <v>Done Inspect</v>
      </c>
      <c r="M114" s="180" t="str">
        <f t="shared" ca="1" si="18"/>
        <v>1. Certified</v>
      </c>
      <c r="N114" s="170" t="s">
        <v>29</v>
      </c>
      <c r="O114" s="169"/>
      <c r="P114" s="169"/>
      <c r="Q114" s="169">
        <v>4010392940</v>
      </c>
    </row>
    <row r="115" spans="1:17">
      <c r="A115" s="169"/>
      <c r="B115" s="164" t="s">
        <v>187</v>
      </c>
      <c r="C115" s="170" t="s">
        <v>188</v>
      </c>
      <c r="D115" s="190">
        <v>0.15</v>
      </c>
      <c r="E115" s="170" t="s">
        <v>74</v>
      </c>
      <c r="F115" s="167"/>
      <c r="G115" s="169"/>
      <c r="H115" s="167"/>
      <c r="I115" s="170" t="s">
        <v>23</v>
      </c>
      <c r="J115" s="179" t="str">
        <f t="shared" ref="J115:J117" ca="1" si="19">IF(F115="","Need Inspect",TODAY()-F115)</f>
        <v>Need Inspect</v>
      </c>
      <c r="K115" s="179" t="str">
        <f t="shared" ref="K115:K117" ca="1" si="20">IF(H115="","Need Inspect",H115-TODAY())</f>
        <v>Need Inspect</v>
      </c>
      <c r="L115" s="179" t="str">
        <f t="shared" ref="L115:L117" ca="1" si="21">IF(K115="Need Inspect","Need Inspect",IF(K115&lt;0,"Expired",IF(K115&lt;=60,"Expired in &lt;2 Months","Done Inspect")))</f>
        <v>Need Inspect</v>
      </c>
      <c r="M115" s="180" t="str">
        <f t="shared" ref="M115:M117" ca="1" si="22">IF(OR(J115="Done Inspect",L115="Done Inspect"),"1. Certified",IF(OR(J115="Need Inspect",L115="Need Inspect"),"2. Need Inspect",IF(OR(J115="Last Insp. Date &gt;1 Year",L115="Expired"),"3. Need Certification","4. Prepare for Certification")))</f>
        <v>2. Need Inspect</v>
      </c>
      <c r="N115" s="170"/>
      <c r="O115" s="169"/>
      <c r="P115" s="169"/>
      <c r="Q115" s="169"/>
    </row>
    <row r="116" spans="1:17">
      <c r="A116" s="169"/>
      <c r="B116" s="164" t="s">
        <v>189</v>
      </c>
      <c r="C116" s="170" t="s">
        <v>188</v>
      </c>
      <c r="D116" s="190">
        <v>0.15</v>
      </c>
      <c r="E116" s="170" t="s">
        <v>74</v>
      </c>
      <c r="F116" s="167"/>
      <c r="G116" s="169"/>
      <c r="H116" s="167"/>
      <c r="I116" s="170" t="s">
        <v>23</v>
      </c>
      <c r="J116" s="179" t="str">
        <f t="shared" ca="1" si="19"/>
        <v>Need Inspect</v>
      </c>
      <c r="K116" s="179" t="str">
        <f t="shared" ca="1" si="20"/>
        <v>Need Inspect</v>
      </c>
      <c r="L116" s="179" t="str">
        <f t="shared" ca="1" si="21"/>
        <v>Need Inspect</v>
      </c>
      <c r="M116" s="180" t="str">
        <f t="shared" ca="1" si="22"/>
        <v>2. Need Inspect</v>
      </c>
      <c r="N116" s="170"/>
      <c r="O116" s="169"/>
      <c r="P116" s="169"/>
      <c r="Q116" s="169"/>
    </row>
    <row r="117" spans="1:17">
      <c r="A117" s="169"/>
      <c r="B117" s="164" t="s">
        <v>190</v>
      </c>
      <c r="C117" s="170" t="s">
        <v>188</v>
      </c>
      <c r="D117" s="190">
        <v>0.15</v>
      </c>
      <c r="E117" s="170" t="s">
        <v>74</v>
      </c>
      <c r="F117" s="167"/>
      <c r="G117" s="169"/>
      <c r="H117" s="167"/>
      <c r="I117" s="170" t="s">
        <v>23</v>
      </c>
      <c r="J117" s="179" t="str">
        <f t="shared" ca="1" si="19"/>
        <v>Need Inspect</v>
      </c>
      <c r="K117" s="179" t="str">
        <f t="shared" ca="1" si="20"/>
        <v>Need Inspect</v>
      </c>
      <c r="L117" s="179" t="str">
        <f t="shared" ca="1" si="21"/>
        <v>Need Inspect</v>
      </c>
      <c r="M117" s="180" t="str">
        <f t="shared" ca="1" si="22"/>
        <v>2. Need Inspect</v>
      </c>
      <c r="N117" s="170"/>
      <c r="O117" s="169"/>
      <c r="P117" s="169"/>
      <c r="Q117" s="169"/>
    </row>
    <row r="118" spans="1:17">
      <c r="A118" s="169"/>
      <c r="B118" s="164" t="s">
        <v>191</v>
      </c>
      <c r="C118" s="170" t="s">
        <v>192</v>
      </c>
      <c r="D118" s="170">
        <v>0.2</v>
      </c>
      <c r="E118" s="170" t="s">
        <v>58</v>
      </c>
      <c r="F118" s="167">
        <v>46266</v>
      </c>
      <c r="G118" s="169"/>
      <c r="H118" s="171">
        <v>46631</v>
      </c>
      <c r="I118" s="170" t="s">
        <v>23</v>
      </c>
      <c r="J118" s="179">
        <f t="shared" ref="J118:J149" ca="1" si="23">IF(F118="","Need Inspect",TODAY()-F118)</f>
        <v>50</v>
      </c>
      <c r="K118" s="179">
        <f t="shared" ref="K118:K149" ca="1" si="24">IF(H118="","Need Inspect",H118-TODAY())</f>
        <v>315</v>
      </c>
      <c r="L118" s="179" t="str">
        <f t="shared" ref="L118:L149" ca="1" si="25">IF(K118="Need Inspect","Need Inspect",IF(K118&lt;0,"Expired",IF(K118&lt;=60,"Expired in &lt;2 Months","Done Inspect")))</f>
        <v>Done Inspect</v>
      </c>
      <c r="M118" s="180" t="str">
        <f t="shared" ref="M118:M149" ca="1" si="26">IF(OR(J118="Done Inspect",L118="Done Inspect"),"1. Certified",IF(OR(J118="Need Inspect",L118="Need Inspect"),"2. Need Inspect",IF(OR(J118="Last Insp. Date &gt;1 Year",L118="Expired"),"3. Need Certification","4. Prepare for Certification")))</f>
        <v>1. Certified</v>
      </c>
      <c r="N118" s="170" t="s">
        <v>29</v>
      </c>
      <c r="O118" s="169"/>
      <c r="P118" s="169"/>
      <c r="Q118" s="169">
        <v>4010392940</v>
      </c>
    </row>
    <row r="119" spans="1:17">
      <c r="A119" s="169"/>
      <c r="B119" s="168" t="s">
        <v>193</v>
      </c>
      <c r="C119" s="172" t="s">
        <v>194</v>
      </c>
      <c r="D119" s="170">
        <v>3.2</v>
      </c>
      <c r="E119" s="170" t="s">
        <v>195</v>
      </c>
      <c r="F119" s="167">
        <v>45988</v>
      </c>
      <c r="G119" s="169"/>
      <c r="H119" s="171">
        <v>46366</v>
      </c>
      <c r="I119" s="170" t="s">
        <v>23</v>
      </c>
      <c r="J119" s="179">
        <f t="shared" ca="1" si="23"/>
        <v>328</v>
      </c>
      <c r="K119" s="179">
        <f t="shared" ca="1" si="24"/>
        <v>50</v>
      </c>
      <c r="L119" s="179" t="str">
        <f t="shared" ca="1" si="25"/>
        <v>Expired in &lt;2 Months</v>
      </c>
      <c r="M119" s="180" t="str">
        <f t="shared" ca="1" si="26"/>
        <v>4. Prepare for Certification</v>
      </c>
      <c r="N119" s="169"/>
      <c r="O119" s="169"/>
      <c r="P119" s="169"/>
      <c r="Q119" s="169"/>
    </row>
    <row r="120" spans="1:17">
      <c r="A120" s="169"/>
      <c r="B120" s="168" t="s">
        <v>196</v>
      </c>
      <c r="C120" s="172" t="s">
        <v>194</v>
      </c>
      <c r="D120" s="170">
        <v>10</v>
      </c>
      <c r="E120" s="170" t="s">
        <v>58</v>
      </c>
      <c r="F120" s="167">
        <v>46001</v>
      </c>
      <c r="G120" s="169"/>
      <c r="H120" s="171">
        <v>46366</v>
      </c>
      <c r="I120" s="170" t="s">
        <v>23</v>
      </c>
      <c r="J120" s="179">
        <f t="shared" ca="1" si="23"/>
        <v>315</v>
      </c>
      <c r="K120" s="179">
        <f t="shared" ca="1" si="24"/>
        <v>50</v>
      </c>
      <c r="L120" s="179" t="str">
        <f t="shared" ca="1" si="25"/>
        <v>Expired in &lt;2 Months</v>
      </c>
      <c r="M120" s="180" t="str">
        <f t="shared" ca="1" si="26"/>
        <v>4. Prepare for Certification</v>
      </c>
      <c r="N120" s="169"/>
      <c r="O120" s="169"/>
      <c r="P120" s="169"/>
      <c r="Q120" s="169"/>
    </row>
    <row r="121" spans="1:17">
      <c r="A121" s="169"/>
      <c r="B121" s="168" t="s">
        <v>197</v>
      </c>
      <c r="C121" s="170" t="s">
        <v>198</v>
      </c>
      <c r="D121" s="170">
        <v>2.5</v>
      </c>
      <c r="E121" s="170" t="s">
        <v>199</v>
      </c>
      <c r="F121" s="167">
        <v>45988</v>
      </c>
      <c r="G121" s="169"/>
      <c r="H121" s="166">
        <v>46360</v>
      </c>
      <c r="I121" s="170" t="s">
        <v>23</v>
      </c>
      <c r="J121" s="179">
        <f t="shared" ca="1" si="23"/>
        <v>328</v>
      </c>
      <c r="K121" s="179">
        <f t="shared" ca="1" si="24"/>
        <v>44</v>
      </c>
      <c r="L121" s="179" t="str">
        <f t="shared" ca="1" si="25"/>
        <v>Expired in &lt;2 Months</v>
      </c>
      <c r="M121" s="180" t="str">
        <f t="shared" ca="1" si="26"/>
        <v>4. Prepare for Certification</v>
      </c>
      <c r="N121" s="169"/>
      <c r="O121" s="169"/>
      <c r="P121" s="169"/>
      <c r="Q121" s="169"/>
    </row>
    <row r="122" spans="1:17">
      <c r="A122" s="169"/>
      <c r="B122" s="168" t="s">
        <v>200</v>
      </c>
      <c r="C122" s="170" t="s">
        <v>198</v>
      </c>
      <c r="D122" s="170">
        <v>2.5</v>
      </c>
      <c r="E122" s="170" t="s">
        <v>199</v>
      </c>
      <c r="F122" s="167">
        <v>45988</v>
      </c>
      <c r="G122" s="169"/>
      <c r="H122" s="166">
        <v>46360</v>
      </c>
      <c r="I122" s="170" t="s">
        <v>23</v>
      </c>
      <c r="J122" s="179">
        <f t="shared" ca="1" si="23"/>
        <v>328</v>
      </c>
      <c r="K122" s="179">
        <f t="shared" ca="1" si="24"/>
        <v>44</v>
      </c>
      <c r="L122" s="179" t="str">
        <f t="shared" ca="1" si="25"/>
        <v>Expired in &lt;2 Months</v>
      </c>
      <c r="M122" s="180" t="str">
        <f t="shared" ca="1" si="26"/>
        <v>4. Prepare for Certification</v>
      </c>
      <c r="N122" s="169"/>
      <c r="O122" s="169"/>
      <c r="P122" s="169"/>
      <c r="Q122" s="169"/>
    </row>
    <row r="123" spans="1:17">
      <c r="A123" s="169"/>
      <c r="B123" s="168" t="s">
        <v>201</v>
      </c>
      <c r="C123" s="170" t="s">
        <v>198</v>
      </c>
      <c r="D123" s="170">
        <v>2.5</v>
      </c>
      <c r="E123" s="170" t="s">
        <v>199</v>
      </c>
      <c r="F123" s="167">
        <v>45988</v>
      </c>
      <c r="G123" s="169"/>
      <c r="H123" s="166">
        <v>46360</v>
      </c>
      <c r="I123" s="170" t="s">
        <v>23</v>
      </c>
      <c r="J123" s="179">
        <f t="shared" ca="1" si="23"/>
        <v>328</v>
      </c>
      <c r="K123" s="179">
        <f t="shared" ca="1" si="24"/>
        <v>44</v>
      </c>
      <c r="L123" s="179" t="str">
        <f t="shared" ca="1" si="25"/>
        <v>Expired in &lt;2 Months</v>
      </c>
      <c r="M123" s="180" t="str">
        <f t="shared" ca="1" si="26"/>
        <v>4. Prepare for Certification</v>
      </c>
      <c r="N123" s="169"/>
      <c r="O123" s="169"/>
      <c r="P123" s="169"/>
      <c r="Q123" s="169"/>
    </row>
    <row r="124" spans="1:17">
      <c r="A124" s="169"/>
      <c r="B124" s="168" t="s">
        <v>202</v>
      </c>
      <c r="C124" s="170" t="s">
        <v>198</v>
      </c>
      <c r="D124" s="170">
        <v>2.5</v>
      </c>
      <c r="E124" s="170" t="s">
        <v>199</v>
      </c>
      <c r="F124" s="167">
        <v>45988</v>
      </c>
      <c r="G124" s="169"/>
      <c r="H124" s="166">
        <v>46360</v>
      </c>
      <c r="I124" s="170" t="s">
        <v>23</v>
      </c>
      <c r="J124" s="179">
        <f t="shared" ca="1" si="23"/>
        <v>328</v>
      </c>
      <c r="K124" s="179">
        <f t="shared" ca="1" si="24"/>
        <v>44</v>
      </c>
      <c r="L124" s="179" t="str">
        <f t="shared" ca="1" si="25"/>
        <v>Expired in &lt;2 Months</v>
      </c>
      <c r="M124" s="180" t="str">
        <f t="shared" ca="1" si="26"/>
        <v>4. Prepare for Certification</v>
      </c>
      <c r="N124" s="169"/>
      <c r="O124" s="169"/>
      <c r="P124" s="169"/>
      <c r="Q124" s="169"/>
    </row>
    <row r="125" spans="1:17">
      <c r="A125" s="169"/>
      <c r="B125" s="168" t="s">
        <v>203</v>
      </c>
      <c r="C125" s="170" t="s">
        <v>198</v>
      </c>
      <c r="D125" s="170">
        <v>2.5</v>
      </c>
      <c r="E125" s="170" t="s">
        <v>199</v>
      </c>
      <c r="F125" s="167">
        <v>45988</v>
      </c>
      <c r="G125" s="169"/>
      <c r="H125" s="166">
        <v>46360</v>
      </c>
      <c r="I125" s="170" t="s">
        <v>23</v>
      </c>
      <c r="J125" s="179">
        <f t="shared" ca="1" si="23"/>
        <v>328</v>
      </c>
      <c r="K125" s="179">
        <f t="shared" ca="1" si="24"/>
        <v>44</v>
      </c>
      <c r="L125" s="179" t="str">
        <f t="shared" ca="1" si="25"/>
        <v>Expired in &lt;2 Months</v>
      </c>
      <c r="M125" s="180" t="str">
        <f t="shared" ca="1" si="26"/>
        <v>4. Prepare for Certification</v>
      </c>
      <c r="N125" s="169"/>
      <c r="O125" s="169"/>
      <c r="P125" s="169"/>
      <c r="Q125" s="169"/>
    </row>
    <row r="126" spans="1:17">
      <c r="A126" s="169"/>
      <c r="B126" s="168" t="s">
        <v>204</v>
      </c>
      <c r="C126" s="170" t="s">
        <v>198</v>
      </c>
      <c r="D126" s="170">
        <v>2.5</v>
      </c>
      <c r="E126" s="170" t="s">
        <v>199</v>
      </c>
      <c r="F126" s="167">
        <v>45988</v>
      </c>
      <c r="G126" s="169"/>
      <c r="H126" s="166">
        <v>46360</v>
      </c>
      <c r="I126" s="170" t="s">
        <v>23</v>
      </c>
      <c r="J126" s="179">
        <f t="shared" ca="1" si="23"/>
        <v>328</v>
      </c>
      <c r="K126" s="179">
        <f t="shared" ca="1" si="24"/>
        <v>44</v>
      </c>
      <c r="L126" s="179" t="str">
        <f t="shared" ca="1" si="25"/>
        <v>Expired in &lt;2 Months</v>
      </c>
      <c r="M126" s="180" t="str">
        <f t="shared" ca="1" si="26"/>
        <v>4. Prepare for Certification</v>
      </c>
      <c r="N126" s="169"/>
      <c r="O126" s="169"/>
      <c r="P126" s="169"/>
      <c r="Q126" s="169"/>
    </row>
    <row r="127" spans="1:17">
      <c r="A127" s="169"/>
      <c r="B127" s="168" t="s">
        <v>205</v>
      </c>
      <c r="C127" s="170" t="s">
        <v>198</v>
      </c>
      <c r="D127" s="170">
        <v>2.5</v>
      </c>
      <c r="E127" s="170" t="s">
        <v>199</v>
      </c>
      <c r="F127" s="167">
        <v>45988</v>
      </c>
      <c r="G127" s="169"/>
      <c r="H127" s="166">
        <v>46360</v>
      </c>
      <c r="I127" s="170" t="s">
        <v>23</v>
      </c>
      <c r="J127" s="179">
        <f t="shared" ca="1" si="23"/>
        <v>328</v>
      </c>
      <c r="K127" s="179">
        <f t="shared" ca="1" si="24"/>
        <v>44</v>
      </c>
      <c r="L127" s="179" t="str">
        <f t="shared" ca="1" si="25"/>
        <v>Expired in &lt;2 Months</v>
      </c>
      <c r="M127" s="180" t="str">
        <f t="shared" ca="1" si="26"/>
        <v>4. Prepare for Certification</v>
      </c>
      <c r="N127" s="169"/>
      <c r="O127" s="169"/>
      <c r="P127" s="169"/>
      <c r="Q127" s="169"/>
    </row>
    <row r="128" spans="1:17">
      <c r="A128" s="169"/>
      <c r="B128" s="168" t="s">
        <v>206</v>
      </c>
      <c r="C128" s="170" t="s">
        <v>198</v>
      </c>
      <c r="D128" s="170">
        <v>2.5</v>
      </c>
      <c r="E128" s="170" t="s">
        <v>199</v>
      </c>
      <c r="F128" s="167">
        <v>45988</v>
      </c>
      <c r="G128" s="169"/>
      <c r="H128" s="166">
        <v>46360</v>
      </c>
      <c r="I128" s="170" t="s">
        <v>23</v>
      </c>
      <c r="J128" s="179">
        <f t="shared" ca="1" si="23"/>
        <v>328</v>
      </c>
      <c r="K128" s="179">
        <f t="shared" ca="1" si="24"/>
        <v>44</v>
      </c>
      <c r="L128" s="179" t="str">
        <f t="shared" ca="1" si="25"/>
        <v>Expired in &lt;2 Months</v>
      </c>
      <c r="M128" s="180" t="str">
        <f t="shared" ca="1" si="26"/>
        <v>4. Prepare for Certification</v>
      </c>
      <c r="N128" s="169"/>
      <c r="O128" s="169"/>
      <c r="P128" s="169"/>
      <c r="Q128" s="169"/>
    </row>
    <row r="129" spans="1:17">
      <c r="A129" s="169"/>
      <c r="B129" s="168" t="s">
        <v>207</v>
      </c>
      <c r="C129" s="170" t="s">
        <v>198</v>
      </c>
      <c r="D129" s="170">
        <v>2.5</v>
      </c>
      <c r="E129" s="170" t="s">
        <v>199</v>
      </c>
      <c r="F129" s="167">
        <v>45988</v>
      </c>
      <c r="G129" s="169"/>
      <c r="H129" s="166">
        <v>46360</v>
      </c>
      <c r="I129" s="170" t="s">
        <v>23</v>
      </c>
      <c r="J129" s="179">
        <f t="shared" ca="1" si="23"/>
        <v>328</v>
      </c>
      <c r="K129" s="179">
        <f t="shared" ca="1" si="24"/>
        <v>44</v>
      </c>
      <c r="L129" s="179" t="str">
        <f t="shared" ca="1" si="25"/>
        <v>Expired in &lt;2 Months</v>
      </c>
      <c r="M129" s="180" t="str">
        <f t="shared" ca="1" si="26"/>
        <v>4. Prepare for Certification</v>
      </c>
      <c r="N129" s="169"/>
      <c r="O129" s="169"/>
      <c r="P129" s="169"/>
      <c r="Q129" s="169"/>
    </row>
    <row r="130" spans="1:17">
      <c r="A130" s="169"/>
      <c r="B130" s="168" t="s">
        <v>208</v>
      </c>
      <c r="C130" s="170" t="s">
        <v>198</v>
      </c>
      <c r="D130" s="170">
        <v>2.5</v>
      </c>
      <c r="E130" s="170" t="s">
        <v>199</v>
      </c>
      <c r="F130" s="167">
        <v>45988</v>
      </c>
      <c r="G130" s="169"/>
      <c r="H130" s="166">
        <v>46360</v>
      </c>
      <c r="I130" s="170" t="s">
        <v>23</v>
      </c>
      <c r="J130" s="179">
        <f t="shared" ca="1" si="23"/>
        <v>328</v>
      </c>
      <c r="K130" s="179">
        <f t="shared" ca="1" si="24"/>
        <v>44</v>
      </c>
      <c r="L130" s="179" t="str">
        <f t="shared" ca="1" si="25"/>
        <v>Expired in &lt;2 Months</v>
      </c>
      <c r="M130" s="180" t="str">
        <f t="shared" ca="1" si="26"/>
        <v>4. Prepare for Certification</v>
      </c>
      <c r="N130" s="169"/>
      <c r="O130" s="169"/>
      <c r="P130" s="169"/>
      <c r="Q130" s="169"/>
    </row>
    <row r="131" spans="1:17">
      <c r="A131" s="169"/>
      <c r="B131" s="168" t="s">
        <v>209</v>
      </c>
      <c r="C131" s="170" t="s">
        <v>198</v>
      </c>
      <c r="D131" s="170">
        <v>2.5</v>
      </c>
      <c r="E131" s="170" t="s">
        <v>199</v>
      </c>
      <c r="F131" s="167">
        <v>45988</v>
      </c>
      <c r="G131" s="169"/>
      <c r="H131" s="166">
        <v>46360</v>
      </c>
      <c r="I131" s="170" t="s">
        <v>23</v>
      </c>
      <c r="J131" s="179">
        <f t="shared" ca="1" si="23"/>
        <v>328</v>
      </c>
      <c r="K131" s="179">
        <f t="shared" ca="1" si="24"/>
        <v>44</v>
      </c>
      <c r="L131" s="179" t="str">
        <f t="shared" ca="1" si="25"/>
        <v>Expired in &lt;2 Months</v>
      </c>
      <c r="M131" s="180" t="str">
        <f t="shared" ca="1" si="26"/>
        <v>4. Prepare for Certification</v>
      </c>
      <c r="N131" s="169"/>
      <c r="O131" s="169"/>
      <c r="P131" s="169"/>
      <c r="Q131" s="169"/>
    </row>
    <row r="132" spans="1:17">
      <c r="A132" s="169"/>
      <c r="B132" s="168" t="s">
        <v>210</v>
      </c>
      <c r="C132" s="170" t="s">
        <v>198</v>
      </c>
      <c r="D132" s="170">
        <v>2.5</v>
      </c>
      <c r="E132" s="170" t="s">
        <v>199</v>
      </c>
      <c r="F132" s="167">
        <v>45988</v>
      </c>
      <c r="G132" s="169"/>
      <c r="H132" s="166">
        <v>46360</v>
      </c>
      <c r="I132" s="170" t="s">
        <v>23</v>
      </c>
      <c r="J132" s="179">
        <f t="shared" ca="1" si="23"/>
        <v>328</v>
      </c>
      <c r="K132" s="179">
        <f t="shared" ca="1" si="24"/>
        <v>44</v>
      </c>
      <c r="L132" s="179" t="str">
        <f t="shared" ca="1" si="25"/>
        <v>Expired in &lt;2 Months</v>
      </c>
      <c r="M132" s="180" t="str">
        <f t="shared" ca="1" si="26"/>
        <v>4. Prepare for Certification</v>
      </c>
      <c r="N132" s="169"/>
      <c r="O132" s="169"/>
      <c r="P132" s="169"/>
      <c r="Q132" s="169"/>
    </row>
    <row r="133" spans="1:17">
      <c r="A133" s="169"/>
      <c r="B133" s="168" t="s">
        <v>211</v>
      </c>
      <c r="C133" s="170" t="s">
        <v>198</v>
      </c>
      <c r="D133" s="170">
        <v>2.5</v>
      </c>
      <c r="E133" s="170" t="s">
        <v>199</v>
      </c>
      <c r="F133" s="167">
        <v>45988</v>
      </c>
      <c r="G133" s="169"/>
      <c r="H133" s="166">
        <v>46360</v>
      </c>
      <c r="I133" s="170" t="s">
        <v>23</v>
      </c>
      <c r="J133" s="179">
        <f t="shared" ca="1" si="23"/>
        <v>328</v>
      </c>
      <c r="K133" s="179">
        <f t="shared" ca="1" si="24"/>
        <v>44</v>
      </c>
      <c r="L133" s="179" t="str">
        <f t="shared" ca="1" si="25"/>
        <v>Expired in &lt;2 Months</v>
      </c>
      <c r="M133" s="180" t="str">
        <f t="shared" ca="1" si="26"/>
        <v>4. Prepare for Certification</v>
      </c>
      <c r="N133" s="169"/>
      <c r="O133" s="169"/>
      <c r="P133" s="169"/>
      <c r="Q133" s="169"/>
    </row>
    <row r="134" spans="1:17">
      <c r="A134" s="169"/>
      <c r="B134" s="168" t="s">
        <v>212</v>
      </c>
      <c r="C134" s="170" t="s">
        <v>198</v>
      </c>
      <c r="D134" s="170">
        <v>2.5</v>
      </c>
      <c r="E134" s="170" t="s">
        <v>213</v>
      </c>
      <c r="F134" s="167">
        <v>45988</v>
      </c>
      <c r="G134" s="169"/>
      <c r="H134" s="166">
        <v>46360</v>
      </c>
      <c r="I134" s="170" t="s">
        <v>23</v>
      </c>
      <c r="J134" s="179">
        <f t="shared" ca="1" si="23"/>
        <v>328</v>
      </c>
      <c r="K134" s="179">
        <f t="shared" ca="1" si="24"/>
        <v>44</v>
      </c>
      <c r="L134" s="179" t="str">
        <f t="shared" ca="1" si="25"/>
        <v>Expired in &lt;2 Months</v>
      </c>
      <c r="M134" s="180" t="str">
        <f t="shared" ca="1" si="26"/>
        <v>4. Prepare for Certification</v>
      </c>
      <c r="N134" s="169"/>
      <c r="O134" s="169"/>
      <c r="P134" s="169"/>
      <c r="Q134" s="169"/>
    </row>
    <row r="135" spans="1:17">
      <c r="A135" s="169"/>
      <c r="B135" s="168" t="s">
        <v>214</v>
      </c>
      <c r="C135" s="170" t="s">
        <v>198</v>
      </c>
      <c r="D135" s="170">
        <v>2.5</v>
      </c>
      <c r="E135" s="170" t="s">
        <v>213</v>
      </c>
      <c r="F135" s="167">
        <v>45988</v>
      </c>
      <c r="G135" s="169"/>
      <c r="H135" s="166">
        <v>46360</v>
      </c>
      <c r="I135" s="170" t="s">
        <v>23</v>
      </c>
      <c r="J135" s="179">
        <f t="shared" ca="1" si="23"/>
        <v>328</v>
      </c>
      <c r="K135" s="179">
        <f t="shared" ca="1" si="24"/>
        <v>44</v>
      </c>
      <c r="L135" s="179" t="str">
        <f t="shared" ca="1" si="25"/>
        <v>Expired in &lt;2 Months</v>
      </c>
      <c r="M135" s="180" t="str">
        <f t="shared" ca="1" si="26"/>
        <v>4. Prepare for Certification</v>
      </c>
      <c r="N135" s="169"/>
      <c r="O135" s="169"/>
      <c r="P135" s="169"/>
      <c r="Q135" s="169"/>
    </row>
    <row r="136" spans="1:17">
      <c r="A136" s="169"/>
      <c r="B136" s="168" t="s">
        <v>215</v>
      </c>
      <c r="C136" s="170" t="s">
        <v>198</v>
      </c>
      <c r="D136" s="170">
        <v>2.5</v>
      </c>
      <c r="E136" s="170" t="s">
        <v>213</v>
      </c>
      <c r="F136" s="167">
        <v>45988</v>
      </c>
      <c r="G136" s="169"/>
      <c r="H136" s="166">
        <v>46360</v>
      </c>
      <c r="I136" s="170" t="s">
        <v>23</v>
      </c>
      <c r="J136" s="179">
        <f t="shared" ca="1" si="23"/>
        <v>328</v>
      </c>
      <c r="K136" s="179">
        <f t="shared" ca="1" si="24"/>
        <v>44</v>
      </c>
      <c r="L136" s="179" t="str">
        <f t="shared" ca="1" si="25"/>
        <v>Expired in &lt;2 Months</v>
      </c>
      <c r="M136" s="180" t="str">
        <f t="shared" ca="1" si="26"/>
        <v>4. Prepare for Certification</v>
      </c>
      <c r="N136" s="169"/>
      <c r="O136" s="169"/>
      <c r="P136" s="169"/>
      <c r="Q136" s="169"/>
    </row>
    <row r="137" spans="1:17">
      <c r="A137" s="169"/>
      <c r="B137" s="168" t="s">
        <v>216</v>
      </c>
      <c r="C137" s="170" t="s">
        <v>198</v>
      </c>
      <c r="D137" s="170">
        <v>2.5</v>
      </c>
      <c r="E137" s="170" t="s">
        <v>213</v>
      </c>
      <c r="F137" s="167">
        <v>45988</v>
      </c>
      <c r="G137" s="169"/>
      <c r="H137" s="166">
        <v>46360</v>
      </c>
      <c r="I137" s="170" t="s">
        <v>23</v>
      </c>
      <c r="J137" s="179">
        <f t="shared" ca="1" si="23"/>
        <v>328</v>
      </c>
      <c r="K137" s="179">
        <f t="shared" ca="1" si="24"/>
        <v>44</v>
      </c>
      <c r="L137" s="179" t="str">
        <f t="shared" ca="1" si="25"/>
        <v>Expired in &lt;2 Months</v>
      </c>
      <c r="M137" s="180" t="str">
        <f t="shared" ca="1" si="26"/>
        <v>4. Prepare for Certification</v>
      </c>
      <c r="N137" s="169"/>
      <c r="O137" s="169"/>
      <c r="P137" s="169"/>
      <c r="Q137" s="169"/>
    </row>
    <row r="138" spans="1:17">
      <c r="A138" s="169"/>
      <c r="B138" s="168" t="s">
        <v>217</v>
      </c>
      <c r="C138" s="170" t="s">
        <v>198</v>
      </c>
      <c r="D138" s="170">
        <v>2.5</v>
      </c>
      <c r="E138" s="170" t="s">
        <v>213</v>
      </c>
      <c r="F138" s="167">
        <v>45988</v>
      </c>
      <c r="G138" s="169"/>
      <c r="H138" s="166">
        <v>46360</v>
      </c>
      <c r="I138" s="170" t="s">
        <v>23</v>
      </c>
      <c r="J138" s="179">
        <f t="shared" ca="1" si="23"/>
        <v>328</v>
      </c>
      <c r="K138" s="179">
        <f t="shared" ca="1" si="24"/>
        <v>44</v>
      </c>
      <c r="L138" s="179" t="str">
        <f t="shared" ca="1" si="25"/>
        <v>Expired in &lt;2 Months</v>
      </c>
      <c r="M138" s="180" t="str">
        <f t="shared" ca="1" si="26"/>
        <v>4. Prepare for Certification</v>
      </c>
      <c r="N138" s="169"/>
      <c r="O138" s="169"/>
      <c r="P138" s="169"/>
      <c r="Q138" s="169"/>
    </row>
    <row r="139" spans="1:17">
      <c r="A139" s="169"/>
      <c r="B139" s="168" t="s">
        <v>218</v>
      </c>
      <c r="C139" s="170" t="s">
        <v>198</v>
      </c>
      <c r="D139" s="170">
        <v>2.5</v>
      </c>
      <c r="E139" s="170" t="s">
        <v>213</v>
      </c>
      <c r="F139" s="167">
        <v>45988</v>
      </c>
      <c r="G139" s="169"/>
      <c r="H139" s="166">
        <v>46360</v>
      </c>
      <c r="I139" s="170" t="s">
        <v>23</v>
      </c>
      <c r="J139" s="179">
        <f t="shared" ca="1" si="23"/>
        <v>328</v>
      </c>
      <c r="K139" s="179">
        <f t="shared" ca="1" si="24"/>
        <v>44</v>
      </c>
      <c r="L139" s="179" t="str">
        <f t="shared" ca="1" si="25"/>
        <v>Expired in &lt;2 Months</v>
      </c>
      <c r="M139" s="180" t="str">
        <f t="shared" ca="1" si="26"/>
        <v>4. Prepare for Certification</v>
      </c>
      <c r="N139" s="169"/>
      <c r="O139" s="169"/>
      <c r="P139" s="169"/>
      <c r="Q139" s="169"/>
    </row>
    <row r="140" spans="1:17">
      <c r="A140" s="169"/>
      <c r="B140" s="168" t="s">
        <v>219</v>
      </c>
      <c r="C140" s="170" t="s">
        <v>198</v>
      </c>
      <c r="D140" s="170">
        <v>2.5</v>
      </c>
      <c r="E140" s="170" t="s">
        <v>213</v>
      </c>
      <c r="F140" s="167">
        <v>45988</v>
      </c>
      <c r="G140" s="169"/>
      <c r="H140" s="166">
        <v>46360</v>
      </c>
      <c r="I140" s="170" t="s">
        <v>23</v>
      </c>
      <c r="J140" s="179">
        <f t="shared" ca="1" si="23"/>
        <v>328</v>
      </c>
      <c r="K140" s="179">
        <f t="shared" ca="1" si="24"/>
        <v>44</v>
      </c>
      <c r="L140" s="179" t="str">
        <f t="shared" ca="1" si="25"/>
        <v>Expired in &lt;2 Months</v>
      </c>
      <c r="M140" s="180" t="str">
        <f t="shared" ca="1" si="26"/>
        <v>4. Prepare for Certification</v>
      </c>
      <c r="N140" s="169"/>
      <c r="O140" s="169"/>
      <c r="P140" s="169"/>
      <c r="Q140" s="169"/>
    </row>
    <row r="141" spans="1:17">
      <c r="A141" s="169"/>
      <c r="B141" s="168" t="s">
        <v>220</v>
      </c>
      <c r="C141" s="170" t="s">
        <v>198</v>
      </c>
      <c r="D141" s="170">
        <v>2.5</v>
      </c>
      <c r="E141" s="170" t="s">
        <v>213</v>
      </c>
      <c r="F141" s="167">
        <v>45988</v>
      </c>
      <c r="G141" s="169"/>
      <c r="H141" s="166">
        <v>46360</v>
      </c>
      <c r="I141" s="170" t="s">
        <v>23</v>
      </c>
      <c r="J141" s="179">
        <f t="shared" ca="1" si="23"/>
        <v>328</v>
      </c>
      <c r="K141" s="179">
        <f t="shared" ca="1" si="24"/>
        <v>44</v>
      </c>
      <c r="L141" s="179" t="str">
        <f t="shared" ca="1" si="25"/>
        <v>Expired in &lt;2 Months</v>
      </c>
      <c r="M141" s="180" t="str">
        <f t="shared" ca="1" si="26"/>
        <v>4. Prepare for Certification</v>
      </c>
      <c r="N141" s="169"/>
      <c r="O141" s="169"/>
      <c r="P141" s="169"/>
      <c r="Q141" s="169"/>
    </row>
    <row r="142" spans="1:17">
      <c r="A142" s="169"/>
      <c r="B142" s="168" t="s">
        <v>221</v>
      </c>
      <c r="C142" s="170" t="s">
        <v>198</v>
      </c>
      <c r="D142" s="170">
        <v>2.5</v>
      </c>
      <c r="E142" s="170" t="s">
        <v>213</v>
      </c>
      <c r="F142" s="167">
        <v>45988</v>
      </c>
      <c r="G142" s="169"/>
      <c r="H142" s="166">
        <v>46360</v>
      </c>
      <c r="I142" s="170" t="s">
        <v>23</v>
      </c>
      <c r="J142" s="179">
        <f t="shared" ca="1" si="23"/>
        <v>328</v>
      </c>
      <c r="K142" s="179">
        <f t="shared" ca="1" si="24"/>
        <v>44</v>
      </c>
      <c r="L142" s="179" t="str">
        <f t="shared" ca="1" si="25"/>
        <v>Expired in &lt;2 Months</v>
      </c>
      <c r="M142" s="180" t="str">
        <f t="shared" ca="1" si="26"/>
        <v>4. Prepare for Certification</v>
      </c>
      <c r="N142" s="169"/>
      <c r="O142" s="169"/>
      <c r="P142" s="169"/>
      <c r="Q142" s="169"/>
    </row>
    <row r="143" spans="1:17">
      <c r="A143" s="169"/>
      <c r="B143" s="168" t="s">
        <v>222</v>
      </c>
      <c r="C143" s="170" t="s">
        <v>198</v>
      </c>
      <c r="D143" s="170">
        <v>2.5</v>
      </c>
      <c r="E143" s="170" t="s">
        <v>213</v>
      </c>
      <c r="F143" s="167">
        <v>45988</v>
      </c>
      <c r="G143" s="169"/>
      <c r="H143" s="166">
        <v>46360</v>
      </c>
      <c r="I143" s="170" t="s">
        <v>23</v>
      </c>
      <c r="J143" s="179">
        <f t="shared" ca="1" si="23"/>
        <v>328</v>
      </c>
      <c r="K143" s="179">
        <f t="shared" ca="1" si="24"/>
        <v>44</v>
      </c>
      <c r="L143" s="179" t="str">
        <f t="shared" ca="1" si="25"/>
        <v>Expired in &lt;2 Months</v>
      </c>
      <c r="M143" s="180" t="str">
        <f t="shared" ca="1" si="26"/>
        <v>4. Prepare for Certification</v>
      </c>
      <c r="N143" s="169"/>
      <c r="O143" s="169"/>
      <c r="P143" s="169"/>
      <c r="Q143" s="169"/>
    </row>
    <row r="144" spans="1:17">
      <c r="A144" s="169"/>
      <c r="B144" s="168" t="s">
        <v>223</v>
      </c>
      <c r="C144" s="170" t="s">
        <v>198</v>
      </c>
      <c r="D144" s="170">
        <v>2.5</v>
      </c>
      <c r="E144" s="170" t="s">
        <v>213</v>
      </c>
      <c r="F144" s="167">
        <v>45988</v>
      </c>
      <c r="G144" s="169"/>
      <c r="H144" s="166">
        <v>46360</v>
      </c>
      <c r="I144" s="170" t="s">
        <v>23</v>
      </c>
      <c r="J144" s="179">
        <f t="shared" ca="1" si="23"/>
        <v>328</v>
      </c>
      <c r="K144" s="179">
        <f t="shared" ca="1" si="24"/>
        <v>44</v>
      </c>
      <c r="L144" s="179" t="str">
        <f t="shared" ca="1" si="25"/>
        <v>Expired in &lt;2 Months</v>
      </c>
      <c r="M144" s="180" t="str">
        <f t="shared" ca="1" si="26"/>
        <v>4. Prepare for Certification</v>
      </c>
      <c r="N144" s="169"/>
      <c r="O144" s="169"/>
      <c r="P144" s="169"/>
      <c r="Q144" s="169"/>
    </row>
    <row r="145" spans="1:17">
      <c r="A145" s="169"/>
      <c r="B145" s="168" t="s">
        <v>224</v>
      </c>
      <c r="C145" s="170" t="s">
        <v>198</v>
      </c>
      <c r="D145" s="170">
        <v>2.5</v>
      </c>
      <c r="E145" s="170" t="s">
        <v>213</v>
      </c>
      <c r="F145" s="167">
        <v>45988</v>
      </c>
      <c r="G145" s="169"/>
      <c r="H145" s="166">
        <v>46360</v>
      </c>
      <c r="I145" s="170" t="s">
        <v>23</v>
      </c>
      <c r="J145" s="179">
        <f t="shared" ca="1" si="23"/>
        <v>328</v>
      </c>
      <c r="K145" s="179">
        <f t="shared" ca="1" si="24"/>
        <v>44</v>
      </c>
      <c r="L145" s="179" t="str">
        <f t="shared" ca="1" si="25"/>
        <v>Expired in &lt;2 Months</v>
      </c>
      <c r="M145" s="180" t="str">
        <f t="shared" ca="1" si="26"/>
        <v>4. Prepare for Certification</v>
      </c>
      <c r="N145" s="169"/>
      <c r="O145" s="169"/>
      <c r="P145" s="169"/>
      <c r="Q145" s="169"/>
    </row>
    <row r="146" spans="1:17">
      <c r="A146" s="169"/>
      <c r="B146" s="168" t="s">
        <v>225</v>
      </c>
      <c r="C146" s="170" t="s">
        <v>198</v>
      </c>
      <c r="D146" s="170">
        <v>2.5</v>
      </c>
      <c r="E146" s="170" t="s">
        <v>213</v>
      </c>
      <c r="F146" s="167">
        <v>45988</v>
      </c>
      <c r="G146" s="169"/>
      <c r="H146" s="166">
        <v>46360</v>
      </c>
      <c r="I146" s="170" t="s">
        <v>23</v>
      </c>
      <c r="J146" s="179">
        <f t="shared" ca="1" si="23"/>
        <v>328</v>
      </c>
      <c r="K146" s="179">
        <f t="shared" ca="1" si="24"/>
        <v>44</v>
      </c>
      <c r="L146" s="179" t="str">
        <f t="shared" ca="1" si="25"/>
        <v>Expired in &lt;2 Months</v>
      </c>
      <c r="M146" s="180" t="str">
        <f t="shared" ca="1" si="26"/>
        <v>4. Prepare for Certification</v>
      </c>
      <c r="N146" s="169"/>
      <c r="O146" s="169"/>
      <c r="P146" s="169"/>
      <c r="Q146" s="169"/>
    </row>
    <row r="147" spans="1:17">
      <c r="A147" s="169"/>
      <c r="B147" s="168" t="s">
        <v>226</v>
      </c>
      <c r="C147" s="170" t="s">
        <v>198</v>
      </c>
      <c r="D147" s="170">
        <v>2.5</v>
      </c>
      <c r="E147" s="170" t="s">
        <v>213</v>
      </c>
      <c r="F147" s="167">
        <v>45988</v>
      </c>
      <c r="G147" s="169"/>
      <c r="H147" s="166">
        <v>46360</v>
      </c>
      <c r="I147" s="170" t="s">
        <v>23</v>
      </c>
      <c r="J147" s="179">
        <f t="shared" ca="1" si="23"/>
        <v>328</v>
      </c>
      <c r="K147" s="179">
        <f t="shared" ca="1" si="24"/>
        <v>44</v>
      </c>
      <c r="L147" s="179" t="str">
        <f t="shared" ca="1" si="25"/>
        <v>Expired in &lt;2 Months</v>
      </c>
      <c r="M147" s="180" t="str">
        <f t="shared" ca="1" si="26"/>
        <v>4. Prepare for Certification</v>
      </c>
      <c r="N147" s="169"/>
      <c r="O147" s="169"/>
      <c r="P147" s="169"/>
      <c r="Q147" s="169"/>
    </row>
    <row r="148" spans="1:17">
      <c r="A148" s="169"/>
      <c r="B148" s="168" t="s">
        <v>227</v>
      </c>
      <c r="C148" s="172" t="s">
        <v>198</v>
      </c>
      <c r="D148" s="170">
        <v>2.6</v>
      </c>
      <c r="E148" s="170" t="s">
        <v>213</v>
      </c>
      <c r="F148" s="167">
        <v>46065</v>
      </c>
      <c r="G148" s="169"/>
      <c r="H148" s="166">
        <v>46430</v>
      </c>
      <c r="I148" s="170" t="s">
        <v>23</v>
      </c>
      <c r="J148" s="179">
        <f t="shared" ca="1" si="23"/>
        <v>251</v>
      </c>
      <c r="K148" s="179">
        <f t="shared" ca="1" si="24"/>
        <v>114</v>
      </c>
      <c r="L148" s="179" t="str">
        <f t="shared" ca="1" si="25"/>
        <v>Done Inspect</v>
      </c>
      <c r="M148" s="180" t="str">
        <f t="shared" ca="1" si="26"/>
        <v>1. Certified</v>
      </c>
      <c r="N148" s="169"/>
      <c r="O148" s="169"/>
      <c r="P148" s="169"/>
      <c r="Q148" s="169"/>
    </row>
    <row r="149" spans="1:17">
      <c r="A149" s="169"/>
      <c r="B149" s="168" t="s">
        <v>228</v>
      </c>
      <c r="C149" s="172" t="s">
        <v>198</v>
      </c>
      <c r="D149" s="170">
        <v>2.6</v>
      </c>
      <c r="E149" s="170" t="s">
        <v>213</v>
      </c>
      <c r="F149" s="167">
        <v>46065</v>
      </c>
      <c r="G149" s="169"/>
      <c r="H149" s="166">
        <v>46430</v>
      </c>
      <c r="I149" s="170" t="s">
        <v>23</v>
      </c>
      <c r="J149" s="179">
        <f t="shared" ca="1" si="23"/>
        <v>251</v>
      </c>
      <c r="K149" s="179">
        <f t="shared" ca="1" si="24"/>
        <v>114</v>
      </c>
      <c r="L149" s="179" t="str">
        <f t="shared" ca="1" si="25"/>
        <v>Done Inspect</v>
      </c>
      <c r="M149" s="180" t="str">
        <f t="shared" ca="1" si="26"/>
        <v>1. Certified</v>
      </c>
      <c r="N149" s="169"/>
      <c r="O149" s="169"/>
      <c r="P149" s="169"/>
      <c r="Q149" s="169"/>
    </row>
    <row r="150" spans="1:17">
      <c r="A150" s="169"/>
      <c r="B150" s="168" t="s">
        <v>229</v>
      </c>
      <c r="C150" s="172" t="s">
        <v>198</v>
      </c>
      <c r="D150" s="170">
        <v>2.5</v>
      </c>
      <c r="E150" s="170" t="s">
        <v>213</v>
      </c>
      <c r="F150" s="167"/>
      <c r="G150" s="169"/>
      <c r="H150" s="166"/>
      <c r="I150" s="170" t="s">
        <v>23</v>
      </c>
      <c r="J150" s="179" t="str">
        <f t="shared" ref="J150:J181" ca="1" si="27">IF(F150="","Need Inspect",TODAY()-F150)</f>
        <v>Need Inspect</v>
      </c>
      <c r="K150" s="179" t="str">
        <f t="shared" ref="K150:K181" ca="1" si="28">IF(H150="","Need Inspect",H150-TODAY())</f>
        <v>Need Inspect</v>
      </c>
      <c r="L150" s="179" t="str">
        <f t="shared" ref="L150:L181" ca="1" si="29">IF(K150="Need Inspect","Need Inspect",IF(K150&lt;0,"Expired",IF(K150&lt;=60,"Expired in &lt;2 Months","Done Inspect")))</f>
        <v>Need Inspect</v>
      </c>
      <c r="M150" s="180" t="str">
        <f t="shared" ref="M150:M181" ca="1" si="30">IF(OR(J150="Done Inspect",L150="Done Inspect"),"1. Certified",IF(OR(J150="Need Inspect",L150="Need Inspect"),"2. Need Inspect",IF(OR(J150="Last Insp. Date &gt;1 Year",L150="Expired"),"3. Need Certification","4. Prepare for Certification")))</f>
        <v>2. Need Inspect</v>
      </c>
      <c r="N150" s="169"/>
      <c r="O150" s="169"/>
      <c r="P150" s="169"/>
      <c r="Q150" s="169"/>
    </row>
    <row r="151" spans="1:17">
      <c r="A151" s="169"/>
      <c r="B151" s="168" t="s">
        <v>230</v>
      </c>
      <c r="C151" s="172" t="s">
        <v>198</v>
      </c>
      <c r="D151" s="170">
        <v>2.5</v>
      </c>
      <c r="E151" s="170" t="s">
        <v>213</v>
      </c>
      <c r="F151" s="167"/>
      <c r="G151" s="169"/>
      <c r="H151" s="166"/>
      <c r="I151" s="170" t="s">
        <v>23</v>
      </c>
      <c r="J151" s="179" t="str">
        <f t="shared" ca="1" si="27"/>
        <v>Need Inspect</v>
      </c>
      <c r="K151" s="179" t="str">
        <f t="shared" ca="1" si="28"/>
        <v>Need Inspect</v>
      </c>
      <c r="L151" s="179" t="str">
        <f t="shared" ca="1" si="29"/>
        <v>Need Inspect</v>
      </c>
      <c r="M151" s="180" t="str">
        <f t="shared" ca="1" si="30"/>
        <v>2. Need Inspect</v>
      </c>
      <c r="N151" s="169"/>
      <c r="O151" s="169"/>
      <c r="P151" s="169"/>
      <c r="Q151" s="169"/>
    </row>
    <row r="152" spans="1:17">
      <c r="A152" s="169"/>
      <c r="B152" s="168" t="s">
        <v>231</v>
      </c>
      <c r="C152" s="172" t="s">
        <v>198</v>
      </c>
      <c r="D152" s="170">
        <v>2.5</v>
      </c>
      <c r="E152" s="170" t="s">
        <v>213</v>
      </c>
      <c r="F152" s="167"/>
      <c r="G152" s="169"/>
      <c r="H152" s="166"/>
      <c r="I152" s="170" t="s">
        <v>23</v>
      </c>
      <c r="J152" s="179" t="str">
        <f t="shared" ca="1" si="27"/>
        <v>Need Inspect</v>
      </c>
      <c r="K152" s="179" t="str">
        <f t="shared" ca="1" si="28"/>
        <v>Need Inspect</v>
      </c>
      <c r="L152" s="179" t="str">
        <f t="shared" ca="1" si="29"/>
        <v>Need Inspect</v>
      </c>
      <c r="M152" s="180" t="str">
        <f t="shared" ca="1" si="30"/>
        <v>2. Need Inspect</v>
      </c>
      <c r="N152" s="169"/>
      <c r="O152" s="169"/>
      <c r="P152" s="169"/>
      <c r="Q152" s="169"/>
    </row>
    <row r="153" spans="1:17">
      <c r="A153" s="169"/>
      <c r="B153" s="168" t="s">
        <v>232</v>
      </c>
      <c r="C153" s="172" t="s">
        <v>198</v>
      </c>
      <c r="D153" s="170">
        <v>2.5</v>
      </c>
      <c r="E153" s="170" t="s">
        <v>213</v>
      </c>
      <c r="F153" s="167"/>
      <c r="G153" s="169"/>
      <c r="H153" s="166"/>
      <c r="I153" s="170" t="s">
        <v>23</v>
      </c>
      <c r="J153" s="179" t="str">
        <f t="shared" ca="1" si="27"/>
        <v>Need Inspect</v>
      </c>
      <c r="K153" s="179" t="str">
        <f t="shared" ca="1" si="28"/>
        <v>Need Inspect</v>
      </c>
      <c r="L153" s="179" t="str">
        <f t="shared" ca="1" si="29"/>
        <v>Need Inspect</v>
      </c>
      <c r="M153" s="180" t="str">
        <f t="shared" ca="1" si="30"/>
        <v>2. Need Inspect</v>
      </c>
      <c r="N153" s="169"/>
      <c r="O153" s="169"/>
      <c r="P153" s="169"/>
      <c r="Q153" s="169"/>
    </row>
    <row r="154" spans="1:17">
      <c r="A154" s="169"/>
      <c r="B154" s="168" t="s">
        <v>233</v>
      </c>
      <c r="C154" s="172" t="s">
        <v>198</v>
      </c>
      <c r="D154" s="170">
        <v>2.5</v>
      </c>
      <c r="E154" s="170" t="s">
        <v>213</v>
      </c>
      <c r="F154" s="167"/>
      <c r="G154" s="169"/>
      <c r="H154" s="166"/>
      <c r="I154" s="170" t="s">
        <v>23</v>
      </c>
      <c r="J154" s="179" t="str">
        <f t="shared" ca="1" si="27"/>
        <v>Need Inspect</v>
      </c>
      <c r="K154" s="179" t="str">
        <f t="shared" ca="1" si="28"/>
        <v>Need Inspect</v>
      </c>
      <c r="L154" s="179" t="str">
        <f t="shared" ca="1" si="29"/>
        <v>Need Inspect</v>
      </c>
      <c r="M154" s="180" t="str">
        <f t="shared" ca="1" si="30"/>
        <v>2. Need Inspect</v>
      </c>
      <c r="N154" s="169"/>
      <c r="O154" s="169"/>
      <c r="P154" s="169"/>
      <c r="Q154" s="169"/>
    </row>
    <row r="155" spans="1:17">
      <c r="A155" s="169"/>
      <c r="B155" s="168" t="s">
        <v>234</v>
      </c>
      <c r="C155" s="172" t="s">
        <v>198</v>
      </c>
      <c r="D155" s="170">
        <v>2.5</v>
      </c>
      <c r="E155" s="170" t="s">
        <v>213</v>
      </c>
      <c r="F155" s="167"/>
      <c r="G155" s="169"/>
      <c r="H155" s="166"/>
      <c r="I155" s="170" t="s">
        <v>23</v>
      </c>
      <c r="J155" s="179" t="str">
        <f t="shared" ca="1" si="27"/>
        <v>Need Inspect</v>
      </c>
      <c r="K155" s="179" t="str">
        <f t="shared" ca="1" si="28"/>
        <v>Need Inspect</v>
      </c>
      <c r="L155" s="179" t="str">
        <f t="shared" ca="1" si="29"/>
        <v>Need Inspect</v>
      </c>
      <c r="M155" s="180" t="str">
        <f t="shared" ca="1" si="30"/>
        <v>2. Need Inspect</v>
      </c>
      <c r="N155" s="169"/>
      <c r="O155" s="169"/>
      <c r="P155" s="169"/>
      <c r="Q155" s="169"/>
    </row>
    <row r="156" spans="1:17">
      <c r="A156" s="169"/>
      <c r="B156" s="168" t="s">
        <v>235</v>
      </c>
      <c r="C156" s="172" t="s">
        <v>198</v>
      </c>
      <c r="D156" s="170">
        <v>2.5</v>
      </c>
      <c r="E156" s="170" t="s">
        <v>213</v>
      </c>
      <c r="F156" s="167"/>
      <c r="G156" s="169"/>
      <c r="H156" s="166"/>
      <c r="I156" s="170" t="s">
        <v>23</v>
      </c>
      <c r="J156" s="179" t="str">
        <f t="shared" ca="1" si="27"/>
        <v>Need Inspect</v>
      </c>
      <c r="K156" s="179" t="str">
        <f t="shared" ca="1" si="28"/>
        <v>Need Inspect</v>
      </c>
      <c r="L156" s="179" t="str">
        <f t="shared" ca="1" si="29"/>
        <v>Need Inspect</v>
      </c>
      <c r="M156" s="180" t="str">
        <f t="shared" ca="1" si="30"/>
        <v>2. Need Inspect</v>
      </c>
      <c r="N156" s="169"/>
      <c r="O156" s="169"/>
      <c r="P156" s="169"/>
      <c r="Q156" s="169"/>
    </row>
    <row r="157" spans="1:17">
      <c r="A157" s="169"/>
      <c r="B157" s="168" t="s">
        <v>236</v>
      </c>
      <c r="C157" s="172" t="s">
        <v>198</v>
      </c>
      <c r="D157" s="170">
        <v>2.5</v>
      </c>
      <c r="E157" s="170" t="s">
        <v>213</v>
      </c>
      <c r="F157" s="167"/>
      <c r="G157" s="169"/>
      <c r="H157" s="166"/>
      <c r="I157" s="170" t="s">
        <v>23</v>
      </c>
      <c r="J157" s="179" t="str">
        <f t="shared" ca="1" si="27"/>
        <v>Need Inspect</v>
      </c>
      <c r="K157" s="179" t="str">
        <f t="shared" ca="1" si="28"/>
        <v>Need Inspect</v>
      </c>
      <c r="L157" s="179" t="str">
        <f t="shared" ca="1" si="29"/>
        <v>Need Inspect</v>
      </c>
      <c r="M157" s="180" t="str">
        <f t="shared" ca="1" si="30"/>
        <v>2. Need Inspect</v>
      </c>
      <c r="N157" s="169"/>
      <c r="O157" s="169"/>
      <c r="P157" s="169"/>
      <c r="Q157" s="169"/>
    </row>
    <row r="158" spans="1:17">
      <c r="A158" s="169"/>
      <c r="B158" s="168" t="s">
        <v>237</v>
      </c>
      <c r="C158" s="172" t="s">
        <v>198</v>
      </c>
      <c r="D158" s="170">
        <v>2.5</v>
      </c>
      <c r="E158" s="170" t="s">
        <v>213</v>
      </c>
      <c r="F158" s="167"/>
      <c r="G158" s="169"/>
      <c r="H158" s="166"/>
      <c r="I158" s="170" t="s">
        <v>23</v>
      </c>
      <c r="J158" s="179" t="str">
        <f t="shared" ca="1" si="27"/>
        <v>Need Inspect</v>
      </c>
      <c r="K158" s="179" t="str">
        <f t="shared" ca="1" si="28"/>
        <v>Need Inspect</v>
      </c>
      <c r="L158" s="179" t="str">
        <f t="shared" ca="1" si="29"/>
        <v>Need Inspect</v>
      </c>
      <c r="M158" s="180" t="str">
        <f t="shared" ca="1" si="30"/>
        <v>2. Need Inspect</v>
      </c>
      <c r="N158" s="169"/>
      <c r="O158" s="169"/>
      <c r="P158" s="169"/>
      <c r="Q158" s="169"/>
    </row>
    <row r="159" spans="1:17">
      <c r="A159" s="169"/>
      <c r="B159" s="164" t="s">
        <v>238</v>
      </c>
      <c r="C159" s="170" t="s">
        <v>239</v>
      </c>
      <c r="D159" s="165">
        <v>0.1</v>
      </c>
      <c r="E159" s="170" t="s">
        <v>74</v>
      </c>
      <c r="F159" s="167">
        <v>46268</v>
      </c>
      <c r="G159" s="169"/>
      <c r="H159" s="167">
        <v>46633</v>
      </c>
      <c r="I159" s="170" t="s">
        <v>23</v>
      </c>
      <c r="J159" s="179">
        <f t="shared" ca="1" si="27"/>
        <v>48</v>
      </c>
      <c r="K159" s="179">
        <f t="shared" ca="1" si="28"/>
        <v>317</v>
      </c>
      <c r="L159" s="179" t="str">
        <f t="shared" ca="1" si="29"/>
        <v>Done Inspect</v>
      </c>
      <c r="M159" s="180" t="str">
        <f t="shared" ca="1" si="30"/>
        <v>1. Certified</v>
      </c>
      <c r="N159" s="170" t="s">
        <v>29</v>
      </c>
      <c r="O159" s="169"/>
      <c r="P159" s="169"/>
      <c r="Q159" s="169">
        <v>4010392940</v>
      </c>
    </row>
    <row r="160" spans="1:17">
      <c r="A160" s="169"/>
      <c r="B160" s="164" t="s">
        <v>240</v>
      </c>
      <c r="C160" s="170" t="s">
        <v>239</v>
      </c>
      <c r="D160" s="165">
        <v>0.1</v>
      </c>
      <c r="E160" s="170" t="s">
        <v>74</v>
      </c>
      <c r="F160" s="167">
        <v>46268</v>
      </c>
      <c r="G160" s="169"/>
      <c r="H160" s="167">
        <v>46633</v>
      </c>
      <c r="I160" s="170" t="s">
        <v>23</v>
      </c>
      <c r="J160" s="179">
        <f t="shared" ca="1" si="27"/>
        <v>48</v>
      </c>
      <c r="K160" s="179">
        <f t="shared" ca="1" si="28"/>
        <v>317</v>
      </c>
      <c r="L160" s="179" t="str">
        <f t="shared" ca="1" si="29"/>
        <v>Done Inspect</v>
      </c>
      <c r="M160" s="180" t="str">
        <f t="shared" ca="1" si="30"/>
        <v>1. Certified</v>
      </c>
      <c r="N160" s="170" t="s">
        <v>29</v>
      </c>
      <c r="O160" s="169"/>
      <c r="P160" s="169"/>
      <c r="Q160" s="169">
        <v>4010392940</v>
      </c>
    </row>
    <row r="161" spans="1:17">
      <c r="A161" s="169"/>
      <c r="B161" s="164" t="s">
        <v>241</v>
      </c>
      <c r="C161" s="170" t="s">
        <v>239</v>
      </c>
      <c r="D161" s="165">
        <v>0.1</v>
      </c>
      <c r="E161" s="170" t="s">
        <v>74</v>
      </c>
      <c r="F161" s="167">
        <v>46268</v>
      </c>
      <c r="G161" s="169"/>
      <c r="H161" s="167">
        <v>46633</v>
      </c>
      <c r="I161" s="170" t="s">
        <v>23</v>
      </c>
      <c r="J161" s="179">
        <f t="shared" ca="1" si="27"/>
        <v>48</v>
      </c>
      <c r="K161" s="179">
        <f t="shared" ca="1" si="28"/>
        <v>317</v>
      </c>
      <c r="L161" s="179" t="str">
        <f t="shared" ca="1" si="29"/>
        <v>Done Inspect</v>
      </c>
      <c r="M161" s="180" t="str">
        <f t="shared" ca="1" si="30"/>
        <v>1. Certified</v>
      </c>
      <c r="N161" s="170" t="s">
        <v>29</v>
      </c>
      <c r="O161" s="169"/>
      <c r="P161" s="169"/>
      <c r="Q161" s="169">
        <v>4010392940</v>
      </c>
    </row>
    <row r="162" spans="1:17">
      <c r="A162" s="169"/>
      <c r="B162" s="168" t="s">
        <v>242</v>
      </c>
      <c r="C162" s="172" t="s">
        <v>243</v>
      </c>
      <c r="D162" s="170">
        <v>2.5</v>
      </c>
      <c r="E162" s="170" t="s">
        <v>244</v>
      </c>
      <c r="F162" s="166">
        <v>46247</v>
      </c>
      <c r="G162" s="168" t="s">
        <v>245</v>
      </c>
      <c r="H162" s="166">
        <v>46612</v>
      </c>
      <c r="I162" s="170" t="s">
        <v>23</v>
      </c>
      <c r="J162" s="179">
        <f t="shared" ca="1" si="27"/>
        <v>69</v>
      </c>
      <c r="K162" s="179">
        <f t="shared" ca="1" si="28"/>
        <v>296</v>
      </c>
      <c r="L162" s="179" t="str">
        <f t="shared" ca="1" si="29"/>
        <v>Done Inspect</v>
      </c>
      <c r="M162" s="180" t="str">
        <f t="shared" ca="1" si="30"/>
        <v>1. Certified</v>
      </c>
      <c r="N162" s="169"/>
      <c r="O162" s="169"/>
      <c r="P162" s="169"/>
      <c r="Q162" s="169"/>
    </row>
    <row r="163" spans="1:17">
      <c r="A163" s="169"/>
      <c r="B163" s="168" t="s">
        <v>246</v>
      </c>
      <c r="C163" s="172" t="s">
        <v>243</v>
      </c>
      <c r="D163" s="170">
        <v>2.5</v>
      </c>
      <c r="E163" s="170" t="s">
        <v>247</v>
      </c>
      <c r="F163" s="166">
        <v>46247</v>
      </c>
      <c r="G163" s="168" t="s">
        <v>248</v>
      </c>
      <c r="H163" s="166">
        <v>46612</v>
      </c>
      <c r="I163" s="170" t="s">
        <v>23</v>
      </c>
      <c r="J163" s="179">
        <f t="shared" ca="1" si="27"/>
        <v>69</v>
      </c>
      <c r="K163" s="179">
        <f t="shared" ca="1" si="28"/>
        <v>296</v>
      </c>
      <c r="L163" s="179" t="str">
        <f t="shared" ca="1" si="29"/>
        <v>Done Inspect</v>
      </c>
      <c r="M163" s="180" t="str">
        <f t="shared" ca="1" si="30"/>
        <v>1. Certified</v>
      </c>
      <c r="N163" s="169"/>
      <c r="O163" s="169"/>
      <c r="P163" s="169"/>
      <c r="Q163" s="169"/>
    </row>
    <row r="164" spans="1:17">
      <c r="A164" s="169"/>
      <c r="B164" s="164" t="s">
        <v>249</v>
      </c>
      <c r="C164" s="170" t="s">
        <v>250</v>
      </c>
      <c r="D164" s="170">
        <v>6</v>
      </c>
      <c r="E164" s="170" t="s">
        <v>58</v>
      </c>
      <c r="F164" s="167">
        <v>46268</v>
      </c>
      <c r="G164" s="169"/>
      <c r="H164" s="167">
        <v>46633</v>
      </c>
      <c r="I164" s="170" t="s">
        <v>23</v>
      </c>
      <c r="J164" s="179">
        <f t="shared" ca="1" si="27"/>
        <v>48</v>
      </c>
      <c r="K164" s="179">
        <f t="shared" ca="1" si="28"/>
        <v>317</v>
      </c>
      <c r="L164" s="179" t="str">
        <f t="shared" ca="1" si="29"/>
        <v>Done Inspect</v>
      </c>
      <c r="M164" s="180" t="str">
        <f t="shared" ca="1" si="30"/>
        <v>1. Certified</v>
      </c>
      <c r="N164" s="170" t="s">
        <v>29</v>
      </c>
      <c r="O164" s="169"/>
      <c r="P164" s="169"/>
      <c r="Q164" s="169">
        <v>4010392940</v>
      </c>
    </row>
    <row r="165" spans="1:17">
      <c r="A165" s="169"/>
      <c r="B165" s="164" t="s">
        <v>251</v>
      </c>
      <c r="C165" s="170" t="s">
        <v>252</v>
      </c>
      <c r="D165" s="165">
        <v>1</v>
      </c>
      <c r="E165" s="170" t="s">
        <v>74</v>
      </c>
      <c r="F165" s="167">
        <v>46268</v>
      </c>
      <c r="G165" s="169"/>
      <c r="H165" s="167">
        <v>46633</v>
      </c>
      <c r="I165" s="170" t="s">
        <v>23</v>
      </c>
      <c r="J165" s="179">
        <f t="shared" ca="1" si="27"/>
        <v>48</v>
      </c>
      <c r="K165" s="179">
        <f t="shared" ca="1" si="28"/>
        <v>317</v>
      </c>
      <c r="L165" s="179" t="str">
        <f t="shared" ca="1" si="29"/>
        <v>Done Inspect</v>
      </c>
      <c r="M165" s="180" t="str">
        <f t="shared" ca="1" si="30"/>
        <v>1. Certified</v>
      </c>
      <c r="N165" s="170" t="s">
        <v>29</v>
      </c>
      <c r="O165" s="169"/>
      <c r="P165" s="169"/>
      <c r="Q165" s="169">
        <v>4010392940</v>
      </c>
    </row>
    <row r="166" spans="1:17">
      <c r="A166" s="169"/>
      <c r="B166" s="164" t="s">
        <v>253</v>
      </c>
      <c r="C166" s="170" t="s">
        <v>252</v>
      </c>
      <c r="D166" s="165">
        <v>1</v>
      </c>
      <c r="E166" s="170" t="s">
        <v>74</v>
      </c>
      <c r="F166" s="167">
        <v>46268</v>
      </c>
      <c r="G166" s="169"/>
      <c r="H166" s="167">
        <v>46633</v>
      </c>
      <c r="I166" s="170" t="s">
        <v>23</v>
      </c>
      <c r="J166" s="179">
        <f t="shared" ca="1" si="27"/>
        <v>48</v>
      </c>
      <c r="K166" s="179">
        <f t="shared" ca="1" si="28"/>
        <v>317</v>
      </c>
      <c r="L166" s="179" t="str">
        <f t="shared" ca="1" si="29"/>
        <v>Done Inspect</v>
      </c>
      <c r="M166" s="180" t="str">
        <f t="shared" ca="1" si="30"/>
        <v>1. Certified</v>
      </c>
      <c r="N166" s="170" t="s">
        <v>29</v>
      </c>
      <c r="O166" s="169"/>
      <c r="P166" s="169"/>
      <c r="Q166" s="169">
        <v>4010392940</v>
      </c>
    </row>
    <row r="167" spans="1:17">
      <c r="A167" s="169"/>
      <c r="B167" s="164" t="s">
        <v>254</v>
      </c>
      <c r="C167" s="170" t="s">
        <v>252</v>
      </c>
      <c r="D167" s="165">
        <v>1</v>
      </c>
      <c r="E167" s="170" t="s">
        <v>74</v>
      </c>
      <c r="F167" s="167">
        <v>46268</v>
      </c>
      <c r="G167" s="169"/>
      <c r="H167" s="167">
        <v>46633</v>
      </c>
      <c r="I167" s="170" t="s">
        <v>23</v>
      </c>
      <c r="J167" s="179">
        <f t="shared" ca="1" si="27"/>
        <v>48</v>
      </c>
      <c r="K167" s="179">
        <f t="shared" ca="1" si="28"/>
        <v>317</v>
      </c>
      <c r="L167" s="179" t="str">
        <f t="shared" ca="1" si="29"/>
        <v>Done Inspect</v>
      </c>
      <c r="M167" s="180" t="str">
        <f t="shared" ca="1" si="30"/>
        <v>1. Certified</v>
      </c>
      <c r="N167" s="170" t="s">
        <v>29</v>
      </c>
      <c r="O167" s="169"/>
      <c r="P167" s="169"/>
      <c r="Q167" s="169">
        <v>4010392940</v>
      </c>
    </row>
    <row r="168" spans="1:17">
      <c r="A168" s="169"/>
      <c r="B168" s="164" t="s">
        <v>255</v>
      </c>
      <c r="C168" s="170" t="s">
        <v>252</v>
      </c>
      <c r="D168" s="165">
        <v>1</v>
      </c>
      <c r="E168" s="170" t="s">
        <v>74</v>
      </c>
      <c r="F168" s="167">
        <v>46268</v>
      </c>
      <c r="G168" s="169"/>
      <c r="H168" s="167">
        <v>46633</v>
      </c>
      <c r="I168" s="170" t="s">
        <v>23</v>
      </c>
      <c r="J168" s="179">
        <f t="shared" ca="1" si="27"/>
        <v>48</v>
      </c>
      <c r="K168" s="179">
        <f t="shared" ca="1" si="28"/>
        <v>317</v>
      </c>
      <c r="L168" s="179" t="str">
        <f t="shared" ca="1" si="29"/>
        <v>Done Inspect</v>
      </c>
      <c r="M168" s="180" t="str">
        <f t="shared" ca="1" si="30"/>
        <v>1. Certified</v>
      </c>
      <c r="N168" s="170" t="s">
        <v>29</v>
      </c>
      <c r="O168" s="169"/>
      <c r="P168" s="169"/>
      <c r="Q168" s="169">
        <v>4010392940</v>
      </c>
    </row>
    <row r="169" spans="1:17">
      <c r="A169" s="169"/>
      <c r="B169" s="164" t="s">
        <v>256</v>
      </c>
      <c r="C169" s="170" t="s">
        <v>252</v>
      </c>
      <c r="D169" s="165">
        <v>2</v>
      </c>
      <c r="E169" s="170" t="s">
        <v>74</v>
      </c>
      <c r="F169" s="167">
        <v>46268</v>
      </c>
      <c r="G169" s="169"/>
      <c r="H169" s="167">
        <v>46633</v>
      </c>
      <c r="I169" s="170" t="s">
        <v>23</v>
      </c>
      <c r="J169" s="179">
        <f t="shared" ca="1" si="27"/>
        <v>48</v>
      </c>
      <c r="K169" s="179">
        <f t="shared" ca="1" si="28"/>
        <v>317</v>
      </c>
      <c r="L169" s="179" t="str">
        <f t="shared" ca="1" si="29"/>
        <v>Done Inspect</v>
      </c>
      <c r="M169" s="180" t="str">
        <f t="shared" ca="1" si="30"/>
        <v>1. Certified</v>
      </c>
      <c r="N169" s="170" t="s">
        <v>29</v>
      </c>
      <c r="O169" s="169"/>
      <c r="P169" s="169"/>
      <c r="Q169" s="169">
        <v>4010392940</v>
      </c>
    </row>
    <row r="170" spans="1:17">
      <c r="A170" s="169"/>
      <c r="B170" s="164" t="s">
        <v>257</v>
      </c>
      <c r="C170" s="170" t="s">
        <v>252</v>
      </c>
      <c r="D170" s="165">
        <v>2</v>
      </c>
      <c r="E170" s="170" t="s">
        <v>74</v>
      </c>
      <c r="F170" s="167">
        <v>46268</v>
      </c>
      <c r="G170" s="169"/>
      <c r="H170" s="167">
        <v>46633</v>
      </c>
      <c r="I170" s="170" t="s">
        <v>23</v>
      </c>
      <c r="J170" s="179">
        <f t="shared" ca="1" si="27"/>
        <v>48</v>
      </c>
      <c r="K170" s="179">
        <f t="shared" ca="1" si="28"/>
        <v>317</v>
      </c>
      <c r="L170" s="179" t="str">
        <f t="shared" ca="1" si="29"/>
        <v>Done Inspect</v>
      </c>
      <c r="M170" s="180" t="str">
        <f t="shared" ca="1" si="30"/>
        <v>1. Certified</v>
      </c>
      <c r="N170" s="170" t="s">
        <v>29</v>
      </c>
      <c r="O170" s="169"/>
      <c r="P170" s="169"/>
      <c r="Q170" s="169">
        <v>4010392940</v>
      </c>
    </row>
    <row r="171" spans="1:17">
      <c r="A171" s="169"/>
      <c r="B171" s="164" t="s">
        <v>258</v>
      </c>
      <c r="C171" s="170" t="s">
        <v>252</v>
      </c>
      <c r="D171" s="165">
        <v>2</v>
      </c>
      <c r="E171" s="170" t="s">
        <v>74</v>
      </c>
      <c r="F171" s="167">
        <v>46268</v>
      </c>
      <c r="G171" s="169"/>
      <c r="H171" s="167">
        <v>46633</v>
      </c>
      <c r="I171" s="170" t="s">
        <v>23</v>
      </c>
      <c r="J171" s="179">
        <f t="shared" ca="1" si="27"/>
        <v>48</v>
      </c>
      <c r="K171" s="179">
        <f t="shared" ca="1" si="28"/>
        <v>317</v>
      </c>
      <c r="L171" s="179" t="str">
        <f t="shared" ca="1" si="29"/>
        <v>Done Inspect</v>
      </c>
      <c r="M171" s="180" t="str">
        <f t="shared" ca="1" si="30"/>
        <v>1. Certified</v>
      </c>
      <c r="N171" s="170" t="s">
        <v>29</v>
      </c>
      <c r="O171" s="169"/>
      <c r="P171" s="169"/>
      <c r="Q171" s="169">
        <v>4010392940</v>
      </c>
    </row>
    <row r="172" spans="1:17">
      <c r="A172" s="169"/>
      <c r="B172" s="164" t="s">
        <v>259</v>
      </c>
      <c r="C172" s="170" t="s">
        <v>252</v>
      </c>
      <c r="D172" s="165">
        <v>2</v>
      </c>
      <c r="E172" s="170" t="s">
        <v>74</v>
      </c>
      <c r="F172" s="167">
        <v>46268</v>
      </c>
      <c r="G172" s="169"/>
      <c r="H172" s="167">
        <v>46633</v>
      </c>
      <c r="I172" s="170" t="s">
        <v>23</v>
      </c>
      <c r="J172" s="179">
        <f t="shared" ca="1" si="27"/>
        <v>48</v>
      </c>
      <c r="K172" s="179">
        <f t="shared" ca="1" si="28"/>
        <v>317</v>
      </c>
      <c r="L172" s="179" t="str">
        <f t="shared" ca="1" si="29"/>
        <v>Done Inspect</v>
      </c>
      <c r="M172" s="180" t="str">
        <f t="shared" ca="1" si="30"/>
        <v>1. Certified</v>
      </c>
      <c r="N172" s="170" t="s">
        <v>29</v>
      </c>
      <c r="O172" s="169"/>
      <c r="P172" s="169"/>
      <c r="Q172" s="169">
        <v>4010392940</v>
      </c>
    </row>
    <row r="173" spans="1:17">
      <c r="A173" s="169"/>
      <c r="B173" s="164" t="s">
        <v>260</v>
      </c>
      <c r="C173" s="170" t="s">
        <v>252</v>
      </c>
      <c r="D173" s="165">
        <v>3.25</v>
      </c>
      <c r="E173" s="170" t="s">
        <v>74</v>
      </c>
      <c r="F173" s="167">
        <v>46268</v>
      </c>
      <c r="G173" s="169"/>
      <c r="H173" s="167">
        <v>46633</v>
      </c>
      <c r="I173" s="170" t="s">
        <v>23</v>
      </c>
      <c r="J173" s="179">
        <f t="shared" ca="1" si="27"/>
        <v>48</v>
      </c>
      <c r="K173" s="179">
        <f t="shared" ca="1" si="28"/>
        <v>317</v>
      </c>
      <c r="L173" s="179" t="str">
        <f t="shared" ca="1" si="29"/>
        <v>Done Inspect</v>
      </c>
      <c r="M173" s="180" t="str">
        <f t="shared" ca="1" si="30"/>
        <v>1. Certified</v>
      </c>
      <c r="N173" s="170" t="s">
        <v>29</v>
      </c>
      <c r="O173" s="169"/>
      <c r="P173" s="169"/>
      <c r="Q173" s="169">
        <v>4010392940</v>
      </c>
    </row>
    <row r="174" spans="1:17">
      <c r="A174" s="169"/>
      <c r="B174" s="164" t="s">
        <v>261</v>
      </c>
      <c r="C174" s="170" t="s">
        <v>252</v>
      </c>
      <c r="D174" s="165">
        <v>3.25</v>
      </c>
      <c r="E174" s="170" t="s">
        <v>74</v>
      </c>
      <c r="F174" s="167">
        <v>46268</v>
      </c>
      <c r="G174" s="169"/>
      <c r="H174" s="167">
        <v>46633</v>
      </c>
      <c r="I174" s="170" t="s">
        <v>23</v>
      </c>
      <c r="J174" s="179">
        <f t="shared" ca="1" si="27"/>
        <v>48</v>
      </c>
      <c r="K174" s="179">
        <f t="shared" ca="1" si="28"/>
        <v>317</v>
      </c>
      <c r="L174" s="179" t="str">
        <f t="shared" ca="1" si="29"/>
        <v>Done Inspect</v>
      </c>
      <c r="M174" s="180" t="str">
        <f t="shared" ca="1" si="30"/>
        <v>1. Certified</v>
      </c>
      <c r="N174" s="170" t="s">
        <v>29</v>
      </c>
      <c r="O174" s="169"/>
      <c r="P174" s="169"/>
      <c r="Q174" s="169">
        <v>4010392940</v>
      </c>
    </row>
    <row r="175" spans="1:17">
      <c r="A175" s="169"/>
      <c r="B175" s="164" t="s">
        <v>262</v>
      </c>
      <c r="C175" s="170" t="s">
        <v>252</v>
      </c>
      <c r="D175" s="165">
        <v>3.25</v>
      </c>
      <c r="E175" s="170" t="s">
        <v>74</v>
      </c>
      <c r="F175" s="167">
        <v>46268</v>
      </c>
      <c r="G175" s="169"/>
      <c r="H175" s="167">
        <v>46633</v>
      </c>
      <c r="I175" s="170" t="s">
        <v>23</v>
      </c>
      <c r="J175" s="179">
        <f t="shared" ca="1" si="27"/>
        <v>48</v>
      </c>
      <c r="K175" s="179">
        <f t="shared" ca="1" si="28"/>
        <v>317</v>
      </c>
      <c r="L175" s="179" t="str">
        <f t="shared" ca="1" si="29"/>
        <v>Done Inspect</v>
      </c>
      <c r="M175" s="180" t="str">
        <f t="shared" ca="1" si="30"/>
        <v>1. Certified</v>
      </c>
      <c r="N175" s="170" t="s">
        <v>29</v>
      </c>
      <c r="O175" s="169"/>
      <c r="P175" s="169"/>
      <c r="Q175" s="169">
        <v>4010392940</v>
      </c>
    </row>
    <row r="176" spans="1:17">
      <c r="A176" s="169"/>
      <c r="B176" s="164" t="s">
        <v>263</v>
      </c>
      <c r="C176" s="170" t="s">
        <v>252</v>
      </c>
      <c r="D176" s="165">
        <v>4.75</v>
      </c>
      <c r="E176" s="170" t="s">
        <v>74</v>
      </c>
      <c r="F176" s="167">
        <v>46268</v>
      </c>
      <c r="G176" s="169"/>
      <c r="H176" s="167">
        <v>46633</v>
      </c>
      <c r="I176" s="170" t="s">
        <v>23</v>
      </c>
      <c r="J176" s="179">
        <f t="shared" ca="1" si="27"/>
        <v>48</v>
      </c>
      <c r="K176" s="179">
        <f t="shared" ca="1" si="28"/>
        <v>317</v>
      </c>
      <c r="L176" s="179" t="str">
        <f t="shared" ca="1" si="29"/>
        <v>Done Inspect</v>
      </c>
      <c r="M176" s="180" t="str">
        <f t="shared" ca="1" si="30"/>
        <v>1. Certified</v>
      </c>
      <c r="N176" s="170" t="s">
        <v>29</v>
      </c>
      <c r="O176" s="169"/>
      <c r="P176" s="169"/>
      <c r="Q176" s="169">
        <v>4010392940</v>
      </c>
    </row>
    <row r="177" spans="1:17">
      <c r="A177" s="169"/>
      <c r="B177" s="164" t="s">
        <v>264</v>
      </c>
      <c r="C177" s="170" t="s">
        <v>252</v>
      </c>
      <c r="D177" s="165">
        <v>4.75</v>
      </c>
      <c r="E177" s="170" t="s">
        <v>74</v>
      </c>
      <c r="F177" s="167">
        <v>46268</v>
      </c>
      <c r="G177" s="169"/>
      <c r="H177" s="167">
        <v>46633</v>
      </c>
      <c r="I177" s="170" t="s">
        <v>23</v>
      </c>
      <c r="J177" s="179">
        <f t="shared" ca="1" si="27"/>
        <v>48</v>
      </c>
      <c r="K177" s="179">
        <f t="shared" ca="1" si="28"/>
        <v>317</v>
      </c>
      <c r="L177" s="179" t="str">
        <f t="shared" ca="1" si="29"/>
        <v>Done Inspect</v>
      </c>
      <c r="M177" s="180" t="str">
        <f t="shared" ca="1" si="30"/>
        <v>1. Certified</v>
      </c>
      <c r="N177" s="170" t="s">
        <v>29</v>
      </c>
      <c r="O177" s="169"/>
      <c r="P177" s="169"/>
      <c r="Q177" s="169">
        <v>4010392940</v>
      </c>
    </row>
    <row r="178" spans="1:17">
      <c r="A178" s="169"/>
      <c r="B178" s="164" t="s">
        <v>265</v>
      </c>
      <c r="C178" s="170" t="s">
        <v>252</v>
      </c>
      <c r="D178" s="165">
        <v>8.5</v>
      </c>
      <c r="E178" s="170" t="s">
        <v>74</v>
      </c>
      <c r="F178" s="167">
        <v>46268</v>
      </c>
      <c r="G178" s="169"/>
      <c r="H178" s="167">
        <v>46633</v>
      </c>
      <c r="I178" s="170" t="s">
        <v>23</v>
      </c>
      <c r="J178" s="179">
        <f t="shared" ca="1" si="27"/>
        <v>48</v>
      </c>
      <c r="K178" s="179">
        <f t="shared" ca="1" si="28"/>
        <v>317</v>
      </c>
      <c r="L178" s="179" t="str">
        <f t="shared" ca="1" si="29"/>
        <v>Done Inspect</v>
      </c>
      <c r="M178" s="180" t="str">
        <f t="shared" ca="1" si="30"/>
        <v>1. Certified</v>
      </c>
      <c r="N178" s="170" t="s">
        <v>29</v>
      </c>
      <c r="O178" s="169"/>
      <c r="P178" s="169"/>
      <c r="Q178" s="169">
        <v>4010392940</v>
      </c>
    </row>
    <row r="179" spans="1:17">
      <c r="A179" s="169"/>
      <c r="B179" s="164" t="s">
        <v>266</v>
      </c>
      <c r="C179" s="170" t="s">
        <v>252</v>
      </c>
      <c r="D179" s="165">
        <v>8.5</v>
      </c>
      <c r="E179" s="170" t="s">
        <v>74</v>
      </c>
      <c r="F179" s="167">
        <v>46268</v>
      </c>
      <c r="G179" s="169"/>
      <c r="H179" s="167">
        <v>46633</v>
      </c>
      <c r="I179" s="170" t="s">
        <v>23</v>
      </c>
      <c r="J179" s="179">
        <f t="shared" ca="1" si="27"/>
        <v>48</v>
      </c>
      <c r="K179" s="179">
        <f t="shared" ca="1" si="28"/>
        <v>317</v>
      </c>
      <c r="L179" s="179" t="str">
        <f t="shared" ca="1" si="29"/>
        <v>Done Inspect</v>
      </c>
      <c r="M179" s="180" t="str">
        <f t="shared" ca="1" si="30"/>
        <v>1. Certified</v>
      </c>
      <c r="N179" s="170" t="s">
        <v>29</v>
      </c>
      <c r="O179" s="169"/>
      <c r="P179" s="169"/>
      <c r="Q179" s="169">
        <v>4010392940</v>
      </c>
    </row>
    <row r="180" spans="1:17">
      <c r="A180" s="169"/>
      <c r="B180" s="164" t="s">
        <v>267</v>
      </c>
      <c r="C180" s="165" t="s">
        <v>268</v>
      </c>
      <c r="D180" s="165">
        <v>0.5</v>
      </c>
      <c r="E180" s="170" t="s">
        <v>58</v>
      </c>
      <c r="F180" s="166">
        <v>46247</v>
      </c>
      <c r="G180" s="168" t="s">
        <v>269</v>
      </c>
      <c r="H180" s="167">
        <v>46612</v>
      </c>
      <c r="I180" s="170" t="s">
        <v>23</v>
      </c>
      <c r="J180" s="179">
        <f t="shared" ca="1" si="27"/>
        <v>69</v>
      </c>
      <c r="K180" s="179">
        <f t="shared" ca="1" si="28"/>
        <v>296</v>
      </c>
      <c r="L180" s="179" t="str">
        <f t="shared" ca="1" si="29"/>
        <v>Done Inspect</v>
      </c>
      <c r="M180" s="180" t="str">
        <f t="shared" ca="1" si="30"/>
        <v>1. Certified</v>
      </c>
      <c r="N180" s="169"/>
      <c r="O180" s="169"/>
      <c r="P180" s="169"/>
      <c r="Q180" s="169"/>
    </row>
    <row r="181" spans="1:17">
      <c r="A181" s="169"/>
      <c r="B181" s="164" t="s">
        <v>270</v>
      </c>
      <c r="C181" s="170" t="s">
        <v>271</v>
      </c>
      <c r="D181" s="170">
        <v>8</v>
      </c>
      <c r="E181" s="170" t="s">
        <v>37</v>
      </c>
      <c r="F181" s="167">
        <v>46268</v>
      </c>
      <c r="G181" s="169"/>
      <c r="H181" s="167">
        <v>46633</v>
      </c>
      <c r="I181" s="170" t="s">
        <v>23</v>
      </c>
      <c r="J181" s="179">
        <f t="shared" ca="1" si="27"/>
        <v>48</v>
      </c>
      <c r="K181" s="179">
        <f t="shared" ca="1" si="28"/>
        <v>317</v>
      </c>
      <c r="L181" s="179" t="str">
        <f t="shared" ca="1" si="29"/>
        <v>Done Inspect</v>
      </c>
      <c r="M181" s="180" t="str">
        <f t="shared" ca="1" si="30"/>
        <v>1. Certified</v>
      </c>
      <c r="N181" s="170" t="s">
        <v>29</v>
      </c>
      <c r="O181" s="169"/>
      <c r="P181" s="169"/>
      <c r="Q181" s="169">
        <v>4010392940</v>
      </c>
    </row>
    <row r="182" spans="1:17">
      <c r="A182" s="169"/>
      <c r="B182" s="164" t="s">
        <v>272</v>
      </c>
      <c r="C182" s="170" t="s">
        <v>271</v>
      </c>
      <c r="D182" s="170">
        <v>8</v>
      </c>
      <c r="E182" s="170" t="s">
        <v>37</v>
      </c>
      <c r="F182" s="167">
        <v>46268</v>
      </c>
      <c r="G182" s="169"/>
      <c r="H182" s="167">
        <v>46633</v>
      </c>
      <c r="I182" s="170" t="s">
        <v>23</v>
      </c>
      <c r="J182" s="179">
        <f t="shared" ref="J182:J213" ca="1" si="31">IF(F182="","Need Inspect",TODAY()-F182)</f>
        <v>48</v>
      </c>
      <c r="K182" s="179">
        <f t="shared" ref="K182:K213" ca="1" si="32">IF(H182="","Need Inspect",H182-TODAY())</f>
        <v>317</v>
      </c>
      <c r="L182" s="179" t="str">
        <f t="shared" ref="L182:L213" ca="1" si="33">IF(K182="Need Inspect","Need Inspect",IF(K182&lt;0,"Expired",IF(K182&lt;=60,"Expired in &lt;2 Months","Done Inspect")))</f>
        <v>Done Inspect</v>
      </c>
      <c r="M182" s="180" t="str">
        <f t="shared" ref="M182:M213" ca="1" si="34">IF(OR(J182="Done Inspect",L182="Done Inspect"),"1. Certified",IF(OR(J182="Need Inspect",L182="Need Inspect"),"2. Need Inspect",IF(OR(J182="Last Insp. Date &gt;1 Year",L182="Expired"),"3. Need Certification","4. Prepare for Certification")))</f>
        <v>1. Certified</v>
      </c>
      <c r="N182" s="170" t="s">
        <v>29</v>
      </c>
      <c r="O182" s="169"/>
      <c r="P182" s="169"/>
      <c r="Q182" s="169">
        <v>4010392940</v>
      </c>
    </row>
    <row r="183" spans="1:17">
      <c r="A183" s="169"/>
      <c r="B183" s="164" t="s">
        <v>273</v>
      </c>
      <c r="C183" s="170" t="s">
        <v>271</v>
      </c>
      <c r="D183" s="170">
        <v>8</v>
      </c>
      <c r="E183" s="170" t="s">
        <v>37</v>
      </c>
      <c r="F183" s="167">
        <v>46268</v>
      </c>
      <c r="G183" s="169"/>
      <c r="H183" s="167">
        <v>46633</v>
      </c>
      <c r="I183" s="170" t="s">
        <v>23</v>
      </c>
      <c r="J183" s="179">
        <f t="shared" ca="1" si="31"/>
        <v>48</v>
      </c>
      <c r="K183" s="179">
        <f t="shared" ca="1" si="32"/>
        <v>317</v>
      </c>
      <c r="L183" s="179" t="str">
        <f t="shared" ca="1" si="33"/>
        <v>Done Inspect</v>
      </c>
      <c r="M183" s="180" t="str">
        <f t="shared" ca="1" si="34"/>
        <v>1. Certified</v>
      </c>
      <c r="N183" s="170" t="s">
        <v>29</v>
      </c>
      <c r="O183" s="169"/>
      <c r="P183" s="169"/>
      <c r="Q183" s="169">
        <v>4010392940</v>
      </c>
    </row>
    <row r="184" spans="1:17">
      <c r="A184" s="169"/>
      <c r="B184" s="164" t="s">
        <v>274</v>
      </c>
      <c r="C184" s="170" t="s">
        <v>271</v>
      </c>
      <c r="D184" s="170">
        <v>8</v>
      </c>
      <c r="E184" s="170" t="s">
        <v>37</v>
      </c>
      <c r="F184" s="167">
        <v>46268</v>
      </c>
      <c r="G184" s="169"/>
      <c r="H184" s="167">
        <v>46633</v>
      </c>
      <c r="I184" s="170" t="s">
        <v>23</v>
      </c>
      <c r="J184" s="179">
        <f t="shared" ca="1" si="31"/>
        <v>48</v>
      </c>
      <c r="K184" s="179">
        <f t="shared" ca="1" si="32"/>
        <v>317</v>
      </c>
      <c r="L184" s="179" t="str">
        <f t="shared" ca="1" si="33"/>
        <v>Done Inspect</v>
      </c>
      <c r="M184" s="180" t="str">
        <f t="shared" ca="1" si="34"/>
        <v>1. Certified</v>
      </c>
      <c r="N184" s="170" t="s">
        <v>29</v>
      </c>
      <c r="O184" s="169"/>
      <c r="P184" s="169"/>
      <c r="Q184" s="169">
        <v>4010392940</v>
      </c>
    </row>
    <row r="185" spans="1:17">
      <c r="A185" s="169"/>
      <c r="B185" s="168" t="s">
        <v>275</v>
      </c>
      <c r="C185" s="170" t="s">
        <v>276</v>
      </c>
      <c r="D185" s="170">
        <v>20</v>
      </c>
      <c r="E185" s="170" t="s">
        <v>118</v>
      </c>
      <c r="F185" s="167">
        <v>45974</v>
      </c>
      <c r="G185" s="169"/>
      <c r="H185" s="171">
        <v>46337</v>
      </c>
      <c r="I185" s="170" t="s">
        <v>23</v>
      </c>
      <c r="J185" s="179">
        <f t="shared" ca="1" si="31"/>
        <v>342</v>
      </c>
      <c r="K185" s="179">
        <f t="shared" ca="1" si="32"/>
        <v>21</v>
      </c>
      <c r="L185" s="179" t="str">
        <f t="shared" ca="1" si="33"/>
        <v>Expired in &lt;2 Months</v>
      </c>
      <c r="M185" s="180" t="str">
        <f t="shared" ca="1" si="34"/>
        <v>4. Prepare for Certification</v>
      </c>
      <c r="N185" s="169"/>
      <c r="O185" s="169"/>
      <c r="P185" s="169"/>
      <c r="Q185" s="169"/>
    </row>
    <row r="186" spans="1:17">
      <c r="A186" s="169"/>
      <c r="B186" s="168" t="s">
        <v>277</v>
      </c>
      <c r="C186" s="170" t="s">
        <v>276</v>
      </c>
      <c r="D186" s="170">
        <v>20</v>
      </c>
      <c r="E186" s="170" t="s">
        <v>118</v>
      </c>
      <c r="F186" s="167">
        <v>45974</v>
      </c>
      <c r="G186" s="169"/>
      <c r="H186" s="171">
        <v>46337</v>
      </c>
      <c r="I186" s="170" t="s">
        <v>23</v>
      </c>
      <c r="J186" s="179">
        <f t="shared" ca="1" si="31"/>
        <v>342</v>
      </c>
      <c r="K186" s="179">
        <f t="shared" ca="1" si="32"/>
        <v>21</v>
      </c>
      <c r="L186" s="179" t="str">
        <f t="shared" ca="1" si="33"/>
        <v>Expired in &lt;2 Months</v>
      </c>
      <c r="M186" s="180" t="str">
        <f t="shared" ca="1" si="34"/>
        <v>4. Prepare for Certification</v>
      </c>
      <c r="N186" s="169"/>
      <c r="O186" s="169"/>
      <c r="P186" s="169"/>
      <c r="Q186" s="169"/>
    </row>
    <row r="187" spans="1:17">
      <c r="A187" s="169"/>
      <c r="B187" s="168" t="s">
        <v>278</v>
      </c>
      <c r="C187" s="170" t="s">
        <v>276</v>
      </c>
      <c r="D187" s="170">
        <v>20</v>
      </c>
      <c r="E187" s="170" t="s">
        <v>118</v>
      </c>
      <c r="F187" s="167">
        <v>45974</v>
      </c>
      <c r="G187" s="169"/>
      <c r="H187" s="171">
        <v>46337</v>
      </c>
      <c r="I187" s="170" t="s">
        <v>23</v>
      </c>
      <c r="J187" s="179">
        <f t="shared" ca="1" si="31"/>
        <v>342</v>
      </c>
      <c r="K187" s="179">
        <f t="shared" ca="1" si="32"/>
        <v>21</v>
      </c>
      <c r="L187" s="179" t="str">
        <f t="shared" ca="1" si="33"/>
        <v>Expired in &lt;2 Months</v>
      </c>
      <c r="M187" s="180" t="str">
        <f t="shared" ca="1" si="34"/>
        <v>4. Prepare for Certification</v>
      </c>
      <c r="N187" s="169"/>
      <c r="O187" s="169"/>
      <c r="P187" s="169"/>
      <c r="Q187" s="169"/>
    </row>
    <row r="188" spans="1:17">
      <c r="A188" s="169"/>
      <c r="B188" s="168" t="s">
        <v>279</v>
      </c>
      <c r="C188" s="170" t="s">
        <v>276</v>
      </c>
      <c r="D188" s="170">
        <v>20</v>
      </c>
      <c r="E188" s="170" t="s">
        <v>118</v>
      </c>
      <c r="F188" s="167">
        <v>45974</v>
      </c>
      <c r="G188" s="169"/>
      <c r="H188" s="171">
        <v>46337</v>
      </c>
      <c r="I188" s="170" t="s">
        <v>23</v>
      </c>
      <c r="J188" s="179">
        <f t="shared" ca="1" si="31"/>
        <v>342</v>
      </c>
      <c r="K188" s="179">
        <f t="shared" ca="1" si="32"/>
        <v>21</v>
      </c>
      <c r="L188" s="179" t="str">
        <f t="shared" ca="1" si="33"/>
        <v>Expired in &lt;2 Months</v>
      </c>
      <c r="M188" s="180" t="str">
        <f t="shared" ca="1" si="34"/>
        <v>4. Prepare for Certification</v>
      </c>
      <c r="N188" s="169"/>
      <c r="O188" s="169"/>
      <c r="P188" s="169"/>
      <c r="Q188" s="169"/>
    </row>
    <row r="189" spans="1:17">
      <c r="A189" s="169"/>
      <c r="B189" s="168" t="s">
        <v>280</v>
      </c>
      <c r="C189" s="170" t="s">
        <v>276</v>
      </c>
      <c r="D189" s="170">
        <v>25</v>
      </c>
      <c r="E189" s="170" t="s">
        <v>118</v>
      </c>
      <c r="F189" s="167">
        <v>45974</v>
      </c>
      <c r="G189" s="169"/>
      <c r="H189" s="171">
        <v>46337</v>
      </c>
      <c r="I189" s="170" t="s">
        <v>23</v>
      </c>
      <c r="J189" s="179">
        <f t="shared" ca="1" si="31"/>
        <v>342</v>
      </c>
      <c r="K189" s="179">
        <f t="shared" ca="1" si="32"/>
        <v>21</v>
      </c>
      <c r="L189" s="179" t="str">
        <f t="shared" ca="1" si="33"/>
        <v>Expired in &lt;2 Months</v>
      </c>
      <c r="M189" s="180" t="str">
        <f t="shared" ca="1" si="34"/>
        <v>4. Prepare for Certification</v>
      </c>
      <c r="N189" s="169"/>
      <c r="O189" s="169"/>
      <c r="P189" s="169"/>
      <c r="Q189" s="169"/>
    </row>
    <row r="190" spans="1:17">
      <c r="A190" s="169"/>
      <c r="B190" s="168" t="s">
        <v>281</v>
      </c>
      <c r="C190" s="170" t="s">
        <v>276</v>
      </c>
      <c r="D190" s="170">
        <v>25</v>
      </c>
      <c r="E190" s="170" t="s">
        <v>118</v>
      </c>
      <c r="F190" s="167">
        <v>45974</v>
      </c>
      <c r="G190" s="169"/>
      <c r="H190" s="171">
        <v>46337</v>
      </c>
      <c r="I190" s="170" t="s">
        <v>23</v>
      </c>
      <c r="J190" s="179">
        <f t="shared" ca="1" si="31"/>
        <v>342</v>
      </c>
      <c r="K190" s="179">
        <f t="shared" ca="1" si="32"/>
        <v>21</v>
      </c>
      <c r="L190" s="179" t="str">
        <f t="shared" ca="1" si="33"/>
        <v>Expired in &lt;2 Months</v>
      </c>
      <c r="M190" s="180" t="str">
        <f t="shared" ca="1" si="34"/>
        <v>4. Prepare for Certification</v>
      </c>
      <c r="N190" s="169"/>
      <c r="O190" s="169"/>
      <c r="P190" s="169"/>
      <c r="Q190" s="169"/>
    </row>
    <row r="191" spans="1:17">
      <c r="A191" s="169"/>
      <c r="B191" s="168" t="s">
        <v>282</v>
      </c>
      <c r="C191" s="170" t="s">
        <v>276</v>
      </c>
      <c r="D191" s="170">
        <v>40</v>
      </c>
      <c r="E191" s="170" t="s">
        <v>118</v>
      </c>
      <c r="F191" s="167">
        <v>45974</v>
      </c>
      <c r="G191" s="169"/>
      <c r="H191" s="171">
        <v>46337</v>
      </c>
      <c r="I191" s="170" t="s">
        <v>23</v>
      </c>
      <c r="J191" s="179">
        <f t="shared" ca="1" si="31"/>
        <v>342</v>
      </c>
      <c r="K191" s="179">
        <f t="shared" ca="1" si="32"/>
        <v>21</v>
      </c>
      <c r="L191" s="179" t="str">
        <f t="shared" ca="1" si="33"/>
        <v>Expired in &lt;2 Months</v>
      </c>
      <c r="M191" s="180" t="str">
        <f t="shared" ca="1" si="34"/>
        <v>4. Prepare for Certification</v>
      </c>
      <c r="N191" s="169"/>
      <c r="O191" s="169"/>
      <c r="P191" s="169"/>
      <c r="Q191" s="169"/>
    </row>
    <row r="192" spans="1:17">
      <c r="A192" s="169"/>
      <c r="B192" s="168" t="s">
        <v>283</v>
      </c>
      <c r="C192" s="170" t="s">
        <v>276</v>
      </c>
      <c r="D192" s="170">
        <v>25</v>
      </c>
      <c r="E192" s="170" t="s">
        <v>118</v>
      </c>
      <c r="F192" s="167">
        <v>45974</v>
      </c>
      <c r="G192" s="169"/>
      <c r="H192" s="171">
        <v>46337</v>
      </c>
      <c r="I192" s="170" t="s">
        <v>23</v>
      </c>
      <c r="J192" s="179">
        <f t="shared" ca="1" si="31"/>
        <v>342</v>
      </c>
      <c r="K192" s="179">
        <f t="shared" ca="1" si="32"/>
        <v>21</v>
      </c>
      <c r="L192" s="179" t="str">
        <f t="shared" ca="1" si="33"/>
        <v>Expired in &lt;2 Months</v>
      </c>
      <c r="M192" s="180" t="str">
        <f t="shared" ca="1" si="34"/>
        <v>4. Prepare for Certification</v>
      </c>
      <c r="N192" s="169"/>
      <c r="O192" s="169"/>
      <c r="P192" s="169"/>
      <c r="Q192" s="169"/>
    </row>
    <row r="193" spans="1:17">
      <c r="A193" s="169"/>
      <c r="B193" s="168" t="s">
        <v>284</v>
      </c>
      <c r="C193" s="170" t="s">
        <v>276</v>
      </c>
      <c r="D193" s="170">
        <v>25</v>
      </c>
      <c r="E193" s="170" t="s">
        <v>118</v>
      </c>
      <c r="F193" s="167">
        <v>45974</v>
      </c>
      <c r="G193" s="169"/>
      <c r="H193" s="171">
        <v>46337</v>
      </c>
      <c r="I193" s="170" t="s">
        <v>23</v>
      </c>
      <c r="J193" s="179">
        <f t="shared" ca="1" si="31"/>
        <v>342</v>
      </c>
      <c r="K193" s="179">
        <f t="shared" ca="1" si="32"/>
        <v>21</v>
      </c>
      <c r="L193" s="179" t="str">
        <f t="shared" ca="1" si="33"/>
        <v>Expired in &lt;2 Months</v>
      </c>
      <c r="M193" s="180" t="str">
        <f t="shared" ca="1" si="34"/>
        <v>4. Prepare for Certification</v>
      </c>
      <c r="N193" s="169"/>
      <c r="O193" s="169"/>
      <c r="P193" s="169"/>
      <c r="Q193" s="169"/>
    </row>
    <row r="194" spans="1:17">
      <c r="A194" s="169"/>
      <c r="B194" s="168" t="s">
        <v>285</v>
      </c>
      <c r="C194" s="170" t="s">
        <v>276</v>
      </c>
      <c r="D194" s="170">
        <v>20</v>
      </c>
      <c r="E194" s="170" t="s">
        <v>118</v>
      </c>
      <c r="F194" s="167">
        <v>45974</v>
      </c>
      <c r="G194" s="169"/>
      <c r="H194" s="171">
        <v>46337</v>
      </c>
      <c r="I194" s="170" t="s">
        <v>23</v>
      </c>
      <c r="J194" s="179">
        <f t="shared" ca="1" si="31"/>
        <v>342</v>
      </c>
      <c r="K194" s="179">
        <f t="shared" ca="1" si="32"/>
        <v>21</v>
      </c>
      <c r="L194" s="179" t="str">
        <f t="shared" ca="1" si="33"/>
        <v>Expired in &lt;2 Months</v>
      </c>
      <c r="M194" s="180" t="str">
        <f t="shared" ca="1" si="34"/>
        <v>4. Prepare for Certification</v>
      </c>
      <c r="N194" s="169"/>
      <c r="O194" s="169"/>
      <c r="P194" s="169"/>
      <c r="Q194" s="169"/>
    </row>
    <row r="195" spans="1:17">
      <c r="A195" s="169"/>
      <c r="B195" s="168" t="s">
        <v>286</v>
      </c>
      <c r="C195" s="170" t="s">
        <v>276</v>
      </c>
      <c r="D195" s="170">
        <v>20</v>
      </c>
      <c r="E195" s="170" t="s">
        <v>118</v>
      </c>
      <c r="F195" s="167">
        <v>45974</v>
      </c>
      <c r="G195" s="169"/>
      <c r="H195" s="171">
        <v>46337</v>
      </c>
      <c r="I195" s="170" t="s">
        <v>23</v>
      </c>
      <c r="J195" s="179">
        <f t="shared" ca="1" si="31"/>
        <v>342</v>
      </c>
      <c r="K195" s="179">
        <f t="shared" ca="1" si="32"/>
        <v>21</v>
      </c>
      <c r="L195" s="179" t="str">
        <f t="shared" ca="1" si="33"/>
        <v>Expired in &lt;2 Months</v>
      </c>
      <c r="M195" s="180" t="str">
        <f t="shared" ca="1" si="34"/>
        <v>4. Prepare for Certification</v>
      </c>
      <c r="N195" s="169"/>
      <c r="O195" s="169"/>
      <c r="P195" s="169"/>
      <c r="Q195" s="169"/>
    </row>
    <row r="196" spans="1:17">
      <c r="A196" s="169"/>
      <c r="B196" s="168" t="s">
        <v>287</v>
      </c>
      <c r="C196" s="170" t="s">
        <v>276</v>
      </c>
      <c r="D196" s="170">
        <v>20</v>
      </c>
      <c r="E196" s="170" t="s">
        <v>118</v>
      </c>
      <c r="F196" s="167">
        <v>45974</v>
      </c>
      <c r="G196" s="169"/>
      <c r="H196" s="171">
        <v>46337</v>
      </c>
      <c r="I196" s="170" t="s">
        <v>23</v>
      </c>
      <c r="J196" s="179">
        <f t="shared" ca="1" si="31"/>
        <v>342</v>
      </c>
      <c r="K196" s="179">
        <f t="shared" ca="1" si="32"/>
        <v>21</v>
      </c>
      <c r="L196" s="179" t="str">
        <f t="shared" ca="1" si="33"/>
        <v>Expired in &lt;2 Months</v>
      </c>
      <c r="M196" s="180" t="str">
        <f t="shared" ca="1" si="34"/>
        <v>4. Prepare for Certification</v>
      </c>
      <c r="N196" s="169"/>
      <c r="O196" s="169"/>
      <c r="P196" s="169"/>
      <c r="Q196" s="169"/>
    </row>
    <row r="197" spans="1:17">
      <c r="A197" s="169"/>
      <c r="B197" s="168" t="s">
        <v>288</v>
      </c>
      <c r="C197" s="170" t="s">
        <v>276</v>
      </c>
      <c r="D197" s="170">
        <v>30</v>
      </c>
      <c r="E197" s="170" t="s">
        <v>118</v>
      </c>
      <c r="F197" s="167">
        <v>45974</v>
      </c>
      <c r="G197" s="169"/>
      <c r="H197" s="171">
        <v>46337</v>
      </c>
      <c r="I197" s="170" t="s">
        <v>23</v>
      </c>
      <c r="J197" s="179">
        <f t="shared" ca="1" si="31"/>
        <v>342</v>
      </c>
      <c r="K197" s="179">
        <f t="shared" ca="1" si="32"/>
        <v>21</v>
      </c>
      <c r="L197" s="179" t="str">
        <f t="shared" ca="1" si="33"/>
        <v>Expired in &lt;2 Months</v>
      </c>
      <c r="M197" s="180" t="str">
        <f t="shared" ca="1" si="34"/>
        <v>4. Prepare for Certification</v>
      </c>
      <c r="N197" s="169"/>
      <c r="O197" s="169"/>
      <c r="P197" s="169"/>
      <c r="Q197" s="169"/>
    </row>
    <row r="198" spans="1:17">
      <c r="A198" s="169"/>
      <c r="B198" s="168" t="s">
        <v>289</v>
      </c>
      <c r="C198" s="170" t="s">
        <v>276</v>
      </c>
      <c r="D198" s="170">
        <v>30</v>
      </c>
      <c r="E198" s="170" t="s">
        <v>118</v>
      </c>
      <c r="F198" s="167">
        <v>45974</v>
      </c>
      <c r="G198" s="169"/>
      <c r="H198" s="171">
        <v>46337</v>
      </c>
      <c r="I198" s="170" t="s">
        <v>23</v>
      </c>
      <c r="J198" s="179">
        <f t="shared" ca="1" si="31"/>
        <v>342</v>
      </c>
      <c r="K198" s="179">
        <f t="shared" ca="1" si="32"/>
        <v>21</v>
      </c>
      <c r="L198" s="179" t="str">
        <f t="shared" ca="1" si="33"/>
        <v>Expired in &lt;2 Months</v>
      </c>
      <c r="M198" s="180" t="str">
        <f t="shared" ca="1" si="34"/>
        <v>4. Prepare for Certification</v>
      </c>
      <c r="N198" s="169"/>
      <c r="O198" s="169"/>
      <c r="P198" s="169"/>
      <c r="Q198" s="169"/>
    </row>
    <row r="199" spans="1:17">
      <c r="A199" s="169"/>
      <c r="B199" s="168" t="s">
        <v>290</v>
      </c>
      <c r="C199" s="170" t="s">
        <v>276</v>
      </c>
      <c r="D199" s="170">
        <v>50</v>
      </c>
      <c r="E199" s="170" t="s">
        <v>118</v>
      </c>
      <c r="F199" s="167">
        <v>45974</v>
      </c>
      <c r="G199" s="169"/>
      <c r="H199" s="171">
        <v>46337</v>
      </c>
      <c r="I199" s="170" t="s">
        <v>23</v>
      </c>
      <c r="J199" s="179">
        <f t="shared" ca="1" si="31"/>
        <v>342</v>
      </c>
      <c r="K199" s="179">
        <f t="shared" ca="1" si="32"/>
        <v>21</v>
      </c>
      <c r="L199" s="179" t="str">
        <f t="shared" ca="1" si="33"/>
        <v>Expired in &lt;2 Months</v>
      </c>
      <c r="M199" s="180" t="str">
        <f t="shared" ca="1" si="34"/>
        <v>4. Prepare for Certification</v>
      </c>
      <c r="N199" s="169"/>
      <c r="O199" s="169"/>
      <c r="P199" s="169"/>
      <c r="Q199" s="169"/>
    </row>
    <row r="200" spans="1:17">
      <c r="A200" s="169"/>
      <c r="B200" s="168" t="s">
        <v>291</v>
      </c>
      <c r="C200" s="170" t="s">
        <v>276</v>
      </c>
      <c r="D200" s="170">
        <v>20</v>
      </c>
      <c r="E200" s="170" t="s">
        <v>118</v>
      </c>
      <c r="F200" s="167">
        <v>45974</v>
      </c>
      <c r="G200" s="169"/>
      <c r="H200" s="171">
        <v>46337</v>
      </c>
      <c r="I200" s="170" t="s">
        <v>23</v>
      </c>
      <c r="J200" s="179">
        <f t="shared" ca="1" si="31"/>
        <v>342</v>
      </c>
      <c r="K200" s="179">
        <f t="shared" ca="1" si="32"/>
        <v>21</v>
      </c>
      <c r="L200" s="179" t="str">
        <f t="shared" ca="1" si="33"/>
        <v>Expired in &lt;2 Months</v>
      </c>
      <c r="M200" s="180" t="str">
        <f t="shared" ca="1" si="34"/>
        <v>4. Prepare for Certification</v>
      </c>
      <c r="N200" s="169"/>
      <c r="O200" s="169"/>
      <c r="P200" s="169"/>
      <c r="Q200" s="169"/>
    </row>
    <row r="201" spans="1:17">
      <c r="A201" s="169"/>
      <c r="B201" s="168" t="s">
        <v>292</v>
      </c>
      <c r="C201" s="170" t="s">
        <v>276</v>
      </c>
      <c r="D201" s="170">
        <v>20</v>
      </c>
      <c r="E201" s="170" t="s">
        <v>118</v>
      </c>
      <c r="F201" s="167">
        <v>45974</v>
      </c>
      <c r="G201" s="169"/>
      <c r="H201" s="171">
        <v>46337</v>
      </c>
      <c r="I201" s="170" t="s">
        <v>23</v>
      </c>
      <c r="J201" s="179">
        <f t="shared" ca="1" si="31"/>
        <v>342</v>
      </c>
      <c r="K201" s="179">
        <f t="shared" ca="1" si="32"/>
        <v>21</v>
      </c>
      <c r="L201" s="179" t="str">
        <f t="shared" ca="1" si="33"/>
        <v>Expired in &lt;2 Months</v>
      </c>
      <c r="M201" s="180" t="str">
        <f t="shared" ca="1" si="34"/>
        <v>4. Prepare for Certification</v>
      </c>
      <c r="N201" s="169"/>
      <c r="O201" s="169"/>
      <c r="P201" s="169"/>
      <c r="Q201" s="169"/>
    </row>
    <row r="202" spans="1:17">
      <c r="A202" s="169"/>
      <c r="B202" s="168" t="s">
        <v>293</v>
      </c>
      <c r="C202" s="170" t="s">
        <v>276</v>
      </c>
      <c r="D202" s="170">
        <v>20</v>
      </c>
      <c r="E202" s="170" t="s">
        <v>118</v>
      </c>
      <c r="F202" s="167">
        <v>45974</v>
      </c>
      <c r="G202" s="169"/>
      <c r="H202" s="171">
        <v>46337</v>
      </c>
      <c r="I202" s="170" t="s">
        <v>23</v>
      </c>
      <c r="J202" s="179">
        <f t="shared" ca="1" si="31"/>
        <v>342</v>
      </c>
      <c r="K202" s="179">
        <f t="shared" ca="1" si="32"/>
        <v>21</v>
      </c>
      <c r="L202" s="179" t="str">
        <f t="shared" ca="1" si="33"/>
        <v>Expired in &lt;2 Months</v>
      </c>
      <c r="M202" s="180" t="str">
        <f t="shared" ca="1" si="34"/>
        <v>4. Prepare for Certification</v>
      </c>
      <c r="N202" s="169"/>
      <c r="O202" s="169"/>
      <c r="P202" s="169"/>
      <c r="Q202" s="169"/>
    </row>
    <row r="203" spans="1:17">
      <c r="A203" s="169"/>
      <c r="B203" s="168" t="s">
        <v>294</v>
      </c>
      <c r="C203" s="170" t="s">
        <v>276</v>
      </c>
      <c r="D203" s="170">
        <v>60</v>
      </c>
      <c r="E203" s="170" t="s">
        <v>118</v>
      </c>
      <c r="F203" s="167">
        <v>45974</v>
      </c>
      <c r="G203" s="169"/>
      <c r="H203" s="171">
        <v>46337</v>
      </c>
      <c r="I203" s="170" t="s">
        <v>23</v>
      </c>
      <c r="J203" s="179">
        <f t="shared" ca="1" si="31"/>
        <v>342</v>
      </c>
      <c r="K203" s="179">
        <f t="shared" ca="1" si="32"/>
        <v>21</v>
      </c>
      <c r="L203" s="179" t="str">
        <f t="shared" ca="1" si="33"/>
        <v>Expired in &lt;2 Months</v>
      </c>
      <c r="M203" s="180" t="str">
        <f t="shared" ca="1" si="34"/>
        <v>4. Prepare for Certification</v>
      </c>
      <c r="N203" s="169"/>
      <c r="O203" s="169"/>
      <c r="P203" s="169"/>
      <c r="Q203" s="169"/>
    </row>
    <row r="204" spans="1:17">
      <c r="A204" s="169"/>
      <c r="B204" s="168" t="s">
        <v>295</v>
      </c>
      <c r="C204" s="170" t="s">
        <v>276</v>
      </c>
      <c r="D204" s="170">
        <v>20</v>
      </c>
      <c r="E204" s="170" t="s">
        <v>118</v>
      </c>
      <c r="F204" s="167">
        <v>45974</v>
      </c>
      <c r="G204" s="169"/>
      <c r="H204" s="171">
        <v>46337</v>
      </c>
      <c r="I204" s="170" t="s">
        <v>23</v>
      </c>
      <c r="J204" s="179">
        <f t="shared" ca="1" si="31"/>
        <v>342</v>
      </c>
      <c r="K204" s="179">
        <f t="shared" ca="1" si="32"/>
        <v>21</v>
      </c>
      <c r="L204" s="179" t="str">
        <f t="shared" ca="1" si="33"/>
        <v>Expired in &lt;2 Months</v>
      </c>
      <c r="M204" s="180" t="str">
        <f t="shared" ca="1" si="34"/>
        <v>4. Prepare for Certification</v>
      </c>
      <c r="N204" s="169"/>
      <c r="O204" s="169"/>
      <c r="P204" s="169"/>
      <c r="Q204" s="169"/>
    </row>
    <row r="205" spans="1:17">
      <c r="A205" s="169"/>
      <c r="B205" s="168" t="s">
        <v>296</v>
      </c>
      <c r="C205" s="170" t="s">
        <v>276</v>
      </c>
      <c r="D205" s="170">
        <v>60</v>
      </c>
      <c r="E205" s="170" t="s">
        <v>118</v>
      </c>
      <c r="F205" s="167">
        <v>45974</v>
      </c>
      <c r="G205" s="169"/>
      <c r="H205" s="171">
        <v>46339</v>
      </c>
      <c r="I205" s="170" t="s">
        <v>23</v>
      </c>
      <c r="J205" s="179">
        <f t="shared" ca="1" si="31"/>
        <v>342</v>
      </c>
      <c r="K205" s="179">
        <f t="shared" ca="1" si="32"/>
        <v>23</v>
      </c>
      <c r="L205" s="179" t="str">
        <f t="shared" ca="1" si="33"/>
        <v>Expired in &lt;2 Months</v>
      </c>
      <c r="M205" s="180" t="str">
        <f t="shared" ca="1" si="34"/>
        <v>4. Prepare for Certification</v>
      </c>
      <c r="N205" s="169"/>
      <c r="O205" s="169"/>
      <c r="P205" s="169"/>
      <c r="Q205" s="169"/>
    </row>
    <row r="206" spans="1:17">
      <c r="A206" s="169"/>
      <c r="B206" s="168" t="s">
        <v>297</v>
      </c>
      <c r="C206" s="170" t="s">
        <v>276</v>
      </c>
      <c r="D206" s="170">
        <v>20</v>
      </c>
      <c r="E206" s="170" t="s">
        <v>118</v>
      </c>
      <c r="F206" s="167">
        <v>45974</v>
      </c>
      <c r="G206" s="169"/>
      <c r="H206" s="171">
        <v>46339</v>
      </c>
      <c r="I206" s="170" t="s">
        <v>23</v>
      </c>
      <c r="J206" s="179">
        <f t="shared" ca="1" si="31"/>
        <v>342</v>
      </c>
      <c r="K206" s="179">
        <f t="shared" ca="1" si="32"/>
        <v>23</v>
      </c>
      <c r="L206" s="179" t="str">
        <f t="shared" ca="1" si="33"/>
        <v>Expired in &lt;2 Months</v>
      </c>
      <c r="M206" s="180" t="str">
        <f t="shared" ca="1" si="34"/>
        <v>4. Prepare for Certification</v>
      </c>
      <c r="N206" s="169"/>
      <c r="O206" s="169"/>
      <c r="P206" s="169"/>
      <c r="Q206" s="169"/>
    </row>
    <row r="207" spans="1:17">
      <c r="A207" s="169"/>
      <c r="B207" s="168" t="s">
        <v>298</v>
      </c>
      <c r="C207" s="170" t="s">
        <v>276</v>
      </c>
      <c r="D207" s="170">
        <v>50</v>
      </c>
      <c r="E207" s="170" t="s">
        <v>118</v>
      </c>
      <c r="F207" s="167">
        <v>45974</v>
      </c>
      <c r="G207" s="169"/>
      <c r="H207" s="171">
        <v>46339</v>
      </c>
      <c r="I207" s="170" t="s">
        <v>23</v>
      </c>
      <c r="J207" s="179">
        <f t="shared" ca="1" si="31"/>
        <v>342</v>
      </c>
      <c r="K207" s="179">
        <f t="shared" ca="1" si="32"/>
        <v>23</v>
      </c>
      <c r="L207" s="179" t="str">
        <f t="shared" ca="1" si="33"/>
        <v>Expired in &lt;2 Months</v>
      </c>
      <c r="M207" s="180" t="str">
        <f t="shared" ca="1" si="34"/>
        <v>4. Prepare for Certification</v>
      </c>
      <c r="N207" s="169"/>
      <c r="O207" s="169"/>
      <c r="P207" s="169"/>
      <c r="Q207" s="169"/>
    </row>
    <row r="208" spans="1:17">
      <c r="A208" s="169"/>
      <c r="B208" s="168" t="s">
        <v>299</v>
      </c>
      <c r="C208" s="170" t="s">
        <v>276</v>
      </c>
      <c r="D208" s="170">
        <v>20</v>
      </c>
      <c r="E208" s="170" t="s">
        <v>118</v>
      </c>
      <c r="F208" s="167">
        <v>45986</v>
      </c>
      <c r="G208" s="169"/>
      <c r="H208" s="171">
        <v>46351</v>
      </c>
      <c r="I208" s="170" t="s">
        <v>23</v>
      </c>
      <c r="J208" s="179">
        <f t="shared" ca="1" si="31"/>
        <v>330</v>
      </c>
      <c r="K208" s="179">
        <f t="shared" ca="1" si="32"/>
        <v>35</v>
      </c>
      <c r="L208" s="179" t="str">
        <f t="shared" ca="1" si="33"/>
        <v>Expired in &lt;2 Months</v>
      </c>
      <c r="M208" s="180" t="str">
        <f t="shared" ca="1" si="34"/>
        <v>4. Prepare for Certification</v>
      </c>
      <c r="N208" s="169"/>
      <c r="O208" s="169"/>
      <c r="P208" s="169"/>
      <c r="Q208" s="169"/>
    </row>
    <row r="209" spans="1:17">
      <c r="A209" s="169"/>
      <c r="B209" s="168" t="s">
        <v>300</v>
      </c>
      <c r="C209" s="170" t="s">
        <v>276</v>
      </c>
      <c r="D209" s="170">
        <v>20</v>
      </c>
      <c r="E209" s="170" t="s">
        <v>118</v>
      </c>
      <c r="F209" s="167">
        <v>45986</v>
      </c>
      <c r="G209" s="169"/>
      <c r="H209" s="171">
        <v>46351</v>
      </c>
      <c r="I209" s="170" t="s">
        <v>23</v>
      </c>
      <c r="J209" s="179">
        <f t="shared" ca="1" si="31"/>
        <v>330</v>
      </c>
      <c r="K209" s="179">
        <f t="shared" ca="1" si="32"/>
        <v>35</v>
      </c>
      <c r="L209" s="179" t="str">
        <f t="shared" ca="1" si="33"/>
        <v>Expired in &lt;2 Months</v>
      </c>
      <c r="M209" s="180" t="str">
        <f t="shared" ca="1" si="34"/>
        <v>4. Prepare for Certification</v>
      </c>
      <c r="N209" s="169"/>
      <c r="O209" s="169"/>
      <c r="P209" s="169"/>
      <c r="Q209" s="169"/>
    </row>
    <row r="210" spans="1:17">
      <c r="A210" s="169"/>
      <c r="B210" s="168" t="s">
        <v>301</v>
      </c>
      <c r="C210" s="170" t="s">
        <v>276</v>
      </c>
      <c r="D210" s="170">
        <v>20</v>
      </c>
      <c r="E210" s="170" t="s">
        <v>118</v>
      </c>
      <c r="F210" s="167">
        <v>45986</v>
      </c>
      <c r="G210" s="169"/>
      <c r="H210" s="171">
        <v>46351</v>
      </c>
      <c r="I210" s="170" t="s">
        <v>23</v>
      </c>
      <c r="J210" s="179">
        <f t="shared" ca="1" si="31"/>
        <v>330</v>
      </c>
      <c r="K210" s="179">
        <f t="shared" ca="1" si="32"/>
        <v>35</v>
      </c>
      <c r="L210" s="179" t="str">
        <f t="shared" ca="1" si="33"/>
        <v>Expired in &lt;2 Months</v>
      </c>
      <c r="M210" s="180" t="str">
        <f t="shared" ca="1" si="34"/>
        <v>4. Prepare for Certification</v>
      </c>
      <c r="N210" s="169"/>
      <c r="O210" s="169"/>
      <c r="P210" s="169"/>
      <c r="Q210" s="169"/>
    </row>
    <row r="211" spans="1:17">
      <c r="A211" s="169"/>
      <c r="B211" s="168" t="s">
        <v>302</v>
      </c>
      <c r="C211" s="170" t="s">
        <v>276</v>
      </c>
      <c r="D211" s="170">
        <v>20</v>
      </c>
      <c r="E211" s="170" t="s">
        <v>118</v>
      </c>
      <c r="F211" s="167">
        <v>45986</v>
      </c>
      <c r="G211" s="169"/>
      <c r="H211" s="171">
        <v>46351</v>
      </c>
      <c r="I211" s="170" t="s">
        <v>23</v>
      </c>
      <c r="J211" s="179">
        <f t="shared" ca="1" si="31"/>
        <v>330</v>
      </c>
      <c r="K211" s="179">
        <f t="shared" ca="1" si="32"/>
        <v>35</v>
      </c>
      <c r="L211" s="179" t="str">
        <f t="shared" ca="1" si="33"/>
        <v>Expired in &lt;2 Months</v>
      </c>
      <c r="M211" s="180" t="str">
        <f t="shared" ca="1" si="34"/>
        <v>4. Prepare for Certification</v>
      </c>
      <c r="N211" s="169"/>
      <c r="O211" s="169"/>
      <c r="P211" s="169"/>
      <c r="Q211" s="169"/>
    </row>
    <row r="212" spans="1:17">
      <c r="A212" s="169"/>
      <c r="B212" s="168" t="s">
        <v>303</v>
      </c>
      <c r="C212" s="170" t="s">
        <v>276</v>
      </c>
      <c r="D212" s="170">
        <v>20</v>
      </c>
      <c r="E212" s="170" t="s">
        <v>118</v>
      </c>
      <c r="F212" s="167">
        <v>45986</v>
      </c>
      <c r="G212" s="169"/>
      <c r="H212" s="171">
        <v>46351</v>
      </c>
      <c r="I212" s="170" t="s">
        <v>23</v>
      </c>
      <c r="J212" s="179">
        <f t="shared" ca="1" si="31"/>
        <v>330</v>
      </c>
      <c r="K212" s="179">
        <f t="shared" ca="1" si="32"/>
        <v>35</v>
      </c>
      <c r="L212" s="179" t="str">
        <f t="shared" ca="1" si="33"/>
        <v>Expired in &lt;2 Months</v>
      </c>
      <c r="M212" s="180" t="str">
        <f t="shared" ca="1" si="34"/>
        <v>4. Prepare for Certification</v>
      </c>
      <c r="N212" s="169"/>
      <c r="O212" s="169"/>
      <c r="P212" s="169"/>
      <c r="Q212" s="169"/>
    </row>
    <row r="213" spans="1:17">
      <c r="A213" s="169"/>
      <c r="B213" s="168" t="s">
        <v>296</v>
      </c>
      <c r="C213" s="170" t="s">
        <v>276</v>
      </c>
      <c r="D213" s="170">
        <v>20</v>
      </c>
      <c r="E213" s="170" t="s">
        <v>118</v>
      </c>
      <c r="F213" s="167">
        <v>45986</v>
      </c>
      <c r="G213" s="169"/>
      <c r="H213" s="171">
        <v>46351</v>
      </c>
      <c r="I213" s="170" t="s">
        <v>23</v>
      </c>
      <c r="J213" s="179">
        <f t="shared" ca="1" si="31"/>
        <v>330</v>
      </c>
      <c r="K213" s="179">
        <f t="shared" ca="1" si="32"/>
        <v>35</v>
      </c>
      <c r="L213" s="179" t="str">
        <f t="shared" ca="1" si="33"/>
        <v>Expired in &lt;2 Months</v>
      </c>
      <c r="M213" s="180" t="str">
        <f t="shared" ca="1" si="34"/>
        <v>4. Prepare for Certification</v>
      </c>
      <c r="N213" s="169"/>
      <c r="O213" s="169"/>
      <c r="P213" s="169"/>
      <c r="Q213" s="169"/>
    </row>
    <row r="214" spans="1:17">
      <c r="A214" s="169"/>
      <c r="B214" s="168" t="s">
        <v>304</v>
      </c>
      <c r="C214" s="170" t="s">
        <v>276</v>
      </c>
      <c r="D214" s="170">
        <v>50</v>
      </c>
      <c r="E214" s="170" t="s">
        <v>118</v>
      </c>
      <c r="F214" s="167">
        <v>45986</v>
      </c>
      <c r="G214" s="169"/>
      <c r="H214" s="171">
        <v>46351</v>
      </c>
      <c r="I214" s="170" t="s">
        <v>23</v>
      </c>
      <c r="J214" s="179">
        <f t="shared" ref="J214:J245" ca="1" si="35">IF(F214="","Need Inspect",TODAY()-F214)</f>
        <v>330</v>
      </c>
      <c r="K214" s="179">
        <f t="shared" ref="K214:K245" ca="1" si="36">IF(H214="","Need Inspect",H214-TODAY())</f>
        <v>35</v>
      </c>
      <c r="L214" s="179" t="str">
        <f t="shared" ref="L214:L245" ca="1" si="37">IF(K214="Need Inspect","Need Inspect",IF(K214&lt;0,"Expired",IF(K214&lt;=60,"Expired in &lt;2 Months","Done Inspect")))</f>
        <v>Expired in &lt;2 Months</v>
      </c>
      <c r="M214" s="180" t="str">
        <f t="shared" ref="M214:M245" ca="1" si="38">IF(OR(J214="Done Inspect",L214="Done Inspect"),"1. Certified",IF(OR(J214="Need Inspect",L214="Need Inspect"),"2. Need Inspect",IF(OR(J214="Last Insp. Date &gt;1 Year",L214="Expired"),"3. Need Certification","4. Prepare for Certification")))</f>
        <v>4. Prepare for Certification</v>
      </c>
      <c r="N214" s="169"/>
      <c r="O214" s="169"/>
      <c r="P214" s="169"/>
      <c r="Q214" s="169"/>
    </row>
    <row r="215" spans="1:17">
      <c r="A215" s="169"/>
      <c r="B215" s="170" t="s">
        <v>305</v>
      </c>
      <c r="C215" s="170" t="s">
        <v>276</v>
      </c>
      <c r="D215" s="170">
        <v>20</v>
      </c>
      <c r="E215" s="170" t="s">
        <v>118</v>
      </c>
      <c r="F215" s="181">
        <v>46211</v>
      </c>
      <c r="G215" s="169"/>
      <c r="H215" s="182">
        <v>46576</v>
      </c>
      <c r="I215" s="170" t="s">
        <v>23</v>
      </c>
      <c r="J215" s="179">
        <f t="shared" ca="1" si="35"/>
        <v>105</v>
      </c>
      <c r="K215" s="179">
        <f t="shared" ca="1" si="36"/>
        <v>260</v>
      </c>
      <c r="L215" s="179" t="str">
        <f t="shared" ca="1" si="37"/>
        <v>Done Inspect</v>
      </c>
      <c r="M215" s="180" t="str">
        <f t="shared" ca="1" si="38"/>
        <v>1. Certified</v>
      </c>
      <c r="N215" s="169"/>
      <c r="O215" s="169"/>
      <c r="P215" s="169"/>
      <c r="Q215" s="169"/>
    </row>
    <row r="216" spans="1:17">
      <c r="A216" s="169"/>
      <c r="B216" s="170" t="s">
        <v>306</v>
      </c>
      <c r="C216" s="170" t="s">
        <v>276</v>
      </c>
      <c r="D216" s="170">
        <v>30</v>
      </c>
      <c r="E216" s="170" t="s">
        <v>118</v>
      </c>
      <c r="F216" s="181">
        <v>46211</v>
      </c>
      <c r="G216" s="169"/>
      <c r="H216" s="182">
        <v>46576</v>
      </c>
      <c r="I216" s="170" t="s">
        <v>23</v>
      </c>
      <c r="J216" s="179">
        <f t="shared" ca="1" si="35"/>
        <v>105</v>
      </c>
      <c r="K216" s="179">
        <f t="shared" ca="1" si="36"/>
        <v>260</v>
      </c>
      <c r="L216" s="179" t="str">
        <f t="shared" ca="1" si="37"/>
        <v>Done Inspect</v>
      </c>
      <c r="M216" s="180" t="str">
        <f t="shared" ca="1" si="38"/>
        <v>1. Certified</v>
      </c>
      <c r="N216" s="169"/>
      <c r="O216" s="169"/>
      <c r="P216" s="169"/>
      <c r="Q216" s="169"/>
    </row>
    <row r="217" spans="1:17">
      <c r="A217" s="169"/>
      <c r="B217" s="170" t="s">
        <v>307</v>
      </c>
      <c r="C217" s="170" t="s">
        <v>276</v>
      </c>
      <c r="D217" s="170">
        <v>20</v>
      </c>
      <c r="E217" s="170" t="s">
        <v>118</v>
      </c>
      <c r="F217" s="181">
        <v>46211</v>
      </c>
      <c r="G217" s="169"/>
      <c r="H217" s="182">
        <v>46576</v>
      </c>
      <c r="I217" s="170" t="s">
        <v>23</v>
      </c>
      <c r="J217" s="179">
        <f t="shared" ca="1" si="35"/>
        <v>105</v>
      </c>
      <c r="K217" s="179">
        <f t="shared" ca="1" si="36"/>
        <v>260</v>
      </c>
      <c r="L217" s="179" t="str">
        <f t="shared" ca="1" si="37"/>
        <v>Done Inspect</v>
      </c>
      <c r="M217" s="180" t="str">
        <f t="shared" ca="1" si="38"/>
        <v>1. Certified</v>
      </c>
      <c r="N217" s="169"/>
      <c r="O217" s="169"/>
      <c r="P217" s="169"/>
      <c r="Q217" s="169"/>
    </row>
    <row r="218" spans="1:17">
      <c r="A218" s="169"/>
      <c r="B218" s="170" t="s">
        <v>308</v>
      </c>
      <c r="C218" s="170" t="s">
        <v>276</v>
      </c>
      <c r="D218" s="170">
        <v>30</v>
      </c>
      <c r="E218" s="170" t="s">
        <v>118</v>
      </c>
      <c r="F218" s="181">
        <v>46211</v>
      </c>
      <c r="G218" s="169"/>
      <c r="H218" s="182">
        <v>46576</v>
      </c>
      <c r="I218" s="170" t="s">
        <v>23</v>
      </c>
      <c r="J218" s="179">
        <f t="shared" ca="1" si="35"/>
        <v>105</v>
      </c>
      <c r="K218" s="179">
        <f t="shared" ca="1" si="36"/>
        <v>260</v>
      </c>
      <c r="L218" s="179" t="str">
        <f t="shared" ca="1" si="37"/>
        <v>Done Inspect</v>
      </c>
      <c r="M218" s="180" t="str">
        <f t="shared" ca="1" si="38"/>
        <v>1. Certified</v>
      </c>
      <c r="N218" s="169"/>
      <c r="O218" s="169"/>
      <c r="P218" s="169"/>
      <c r="Q218" s="169"/>
    </row>
    <row r="219" spans="1:17">
      <c r="A219" s="169"/>
      <c r="B219" s="170" t="s">
        <v>309</v>
      </c>
      <c r="C219" s="170" t="s">
        <v>276</v>
      </c>
      <c r="D219" s="170">
        <v>10</v>
      </c>
      <c r="E219" s="170" t="s">
        <v>118</v>
      </c>
      <c r="F219" s="181">
        <v>46211</v>
      </c>
      <c r="G219" s="169"/>
      <c r="H219" s="182">
        <v>46576</v>
      </c>
      <c r="I219" s="170" t="s">
        <v>23</v>
      </c>
      <c r="J219" s="179">
        <f t="shared" ca="1" si="35"/>
        <v>105</v>
      </c>
      <c r="K219" s="179">
        <f t="shared" ca="1" si="36"/>
        <v>260</v>
      </c>
      <c r="L219" s="179" t="str">
        <f t="shared" ca="1" si="37"/>
        <v>Done Inspect</v>
      </c>
      <c r="M219" s="180" t="str">
        <f t="shared" ca="1" si="38"/>
        <v>1. Certified</v>
      </c>
      <c r="N219" s="169"/>
      <c r="O219" s="169"/>
      <c r="P219" s="169"/>
      <c r="Q219" s="169"/>
    </row>
    <row r="220" spans="1:17">
      <c r="A220" s="169"/>
      <c r="B220" s="170" t="s">
        <v>310</v>
      </c>
      <c r="C220" s="170" t="s">
        <v>276</v>
      </c>
      <c r="D220" s="170">
        <v>30</v>
      </c>
      <c r="E220" s="170" t="s">
        <v>118</v>
      </c>
      <c r="F220" s="181">
        <v>46211</v>
      </c>
      <c r="G220" s="169"/>
      <c r="H220" s="182">
        <v>46576</v>
      </c>
      <c r="I220" s="170" t="s">
        <v>23</v>
      </c>
      <c r="J220" s="179">
        <f t="shared" ca="1" si="35"/>
        <v>105</v>
      </c>
      <c r="K220" s="179">
        <f t="shared" ca="1" si="36"/>
        <v>260</v>
      </c>
      <c r="L220" s="179" t="str">
        <f t="shared" ca="1" si="37"/>
        <v>Done Inspect</v>
      </c>
      <c r="M220" s="180" t="str">
        <f t="shared" ca="1" si="38"/>
        <v>1. Certified</v>
      </c>
      <c r="N220" s="169"/>
      <c r="O220" s="169"/>
      <c r="P220" s="169"/>
      <c r="Q220" s="169"/>
    </row>
    <row r="221" spans="1:17">
      <c r="A221" s="169"/>
      <c r="B221" s="170" t="s">
        <v>311</v>
      </c>
      <c r="C221" s="170" t="s">
        <v>276</v>
      </c>
      <c r="D221" s="170">
        <v>30</v>
      </c>
      <c r="E221" s="170" t="s">
        <v>118</v>
      </c>
      <c r="F221" s="181">
        <v>46211</v>
      </c>
      <c r="G221" s="169"/>
      <c r="H221" s="182">
        <v>46576</v>
      </c>
      <c r="I221" s="170" t="s">
        <v>23</v>
      </c>
      <c r="J221" s="179">
        <f t="shared" ca="1" si="35"/>
        <v>105</v>
      </c>
      <c r="K221" s="179">
        <f t="shared" ca="1" si="36"/>
        <v>260</v>
      </c>
      <c r="L221" s="179" t="str">
        <f t="shared" ca="1" si="37"/>
        <v>Done Inspect</v>
      </c>
      <c r="M221" s="180" t="str">
        <f t="shared" ca="1" si="38"/>
        <v>1. Certified</v>
      </c>
      <c r="N221" s="169"/>
      <c r="O221" s="169"/>
      <c r="P221" s="169"/>
      <c r="Q221" s="169"/>
    </row>
    <row r="222" spans="1:17">
      <c r="A222" s="169"/>
      <c r="B222" s="170" t="s">
        <v>312</v>
      </c>
      <c r="C222" s="170" t="s">
        <v>276</v>
      </c>
      <c r="D222" s="170">
        <v>45</v>
      </c>
      <c r="E222" s="170" t="s">
        <v>118</v>
      </c>
      <c r="F222" s="181">
        <v>46211</v>
      </c>
      <c r="G222" s="169"/>
      <c r="H222" s="182">
        <v>46576</v>
      </c>
      <c r="I222" s="170" t="s">
        <v>23</v>
      </c>
      <c r="J222" s="179">
        <f t="shared" ca="1" si="35"/>
        <v>105</v>
      </c>
      <c r="K222" s="179">
        <f t="shared" ca="1" si="36"/>
        <v>260</v>
      </c>
      <c r="L222" s="179" t="str">
        <f t="shared" ca="1" si="37"/>
        <v>Done Inspect</v>
      </c>
      <c r="M222" s="180" t="str">
        <f t="shared" ca="1" si="38"/>
        <v>1. Certified</v>
      </c>
      <c r="N222" s="169"/>
      <c r="O222" s="169"/>
      <c r="P222" s="169"/>
      <c r="Q222" s="169"/>
    </row>
    <row r="223" spans="1:17">
      <c r="A223" s="169"/>
      <c r="B223" s="170" t="s">
        <v>313</v>
      </c>
      <c r="C223" s="170" t="s">
        <v>276</v>
      </c>
      <c r="D223" s="170">
        <v>50</v>
      </c>
      <c r="E223" s="170" t="s">
        <v>118</v>
      </c>
      <c r="F223" s="181">
        <v>46211</v>
      </c>
      <c r="G223" s="169"/>
      <c r="H223" s="182">
        <v>46576</v>
      </c>
      <c r="I223" s="170" t="s">
        <v>23</v>
      </c>
      <c r="J223" s="179">
        <f t="shared" ca="1" si="35"/>
        <v>105</v>
      </c>
      <c r="K223" s="179">
        <f t="shared" ca="1" si="36"/>
        <v>260</v>
      </c>
      <c r="L223" s="179" t="str">
        <f t="shared" ca="1" si="37"/>
        <v>Done Inspect</v>
      </c>
      <c r="M223" s="180" t="str">
        <f t="shared" ca="1" si="38"/>
        <v>1. Certified</v>
      </c>
      <c r="N223" s="169"/>
      <c r="O223" s="169"/>
      <c r="P223" s="169"/>
      <c r="Q223" s="169"/>
    </row>
    <row r="224" spans="1:17">
      <c r="A224" s="169"/>
      <c r="B224" s="170" t="s">
        <v>314</v>
      </c>
      <c r="C224" s="170" t="s">
        <v>276</v>
      </c>
      <c r="D224" s="170">
        <v>30</v>
      </c>
      <c r="E224" s="170" t="s">
        <v>118</v>
      </c>
      <c r="F224" s="181">
        <v>46211</v>
      </c>
      <c r="G224" s="169"/>
      <c r="H224" s="182">
        <v>46576</v>
      </c>
      <c r="I224" s="170" t="s">
        <v>23</v>
      </c>
      <c r="J224" s="179">
        <f t="shared" ca="1" si="35"/>
        <v>105</v>
      </c>
      <c r="K224" s="179">
        <f t="shared" ca="1" si="36"/>
        <v>260</v>
      </c>
      <c r="L224" s="179" t="str">
        <f t="shared" ca="1" si="37"/>
        <v>Done Inspect</v>
      </c>
      <c r="M224" s="180" t="str">
        <f t="shared" ca="1" si="38"/>
        <v>1. Certified</v>
      </c>
      <c r="N224" s="169"/>
      <c r="O224" s="169"/>
      <c r="P224" s="169"/>
      <c r="Q224" s="169"/>
    </row>
    <row r="225" spans="1:17">
      <c r="A225" s="169"/>
      <c r="B225" s="170" t="s">
        <v>315</v>
      </c>
      <c r="C225" s="170" t="s">
        <v>276</v>
      </c>
      <c r="D225" s="170">
        <v>30</v>
      </c>
      <c r="E225" s="170" t="s">
        <v>118</v>
      </c>
      <c r="F225" s="181">
        <v>46211</v>
      </c>
      <c r="G225" s="169"/>
      <c r="H225" s="182">
        <v>46576</v>
      </c>
      <c r="I225" s="170" t="s">
        <v>23</v>
      </c>
      <c r="J225" s="179">
        <f t="shared" ca="1" si="35"/>
        <v>105</v>
      </c>
      <c r="K225" s="179">
        <f t="shared" ca="1" si="36"/>
        <v>260</v>
      </c>
      <c r="L225" s="179" t="str">
        <f t="shared" ca="1" si="37"/>
        <v>Done Inspect</v>
      </c>
      <c r="M225" s="180" t="str">
        <f t="shared" ca="1" si="38"/>
        <v>1. Certified</v>
      </c>
      <c r="N225" s="169"/>
      <c r="O225" s="169"/>
      <c r="P225" s="169"/>
      <c r="Q225" s="169"/>
    </row>
    <row r="226" spans="1:17">
      <c r="A226" s="169"/>
      <c r="B226" s="170" t="s">
        <v>316</v>
      </c>
      <c r="C226" s="170" t="s">
        <v>276</v>
      </c>
      <c r="D226" s="170">
        <v>30</v>
      </c>
      <c r="E226" s="170" t="s">
        <v>118</v>
      </c>
      <c r="F226" s="181">
        <v>46211</v>
      </c>
      <c r="G226" s="169"/>
      <c r="H226" s="182">
        <v>46576</v>
      </c>
      <c r="I226" s="170" t="s">
        <v>23</v>
      </c>
      <c r="J226" s="179">
        <f t="shared" ca="1" si="35"/>
        <v>105</v>
      </c>
      <c r="K226" s="179">
        <f t="shared" ca="1" si="36"/>
        <v>260</v>
      </c>
      <c r="L226" s="179" t="str">
        <f t="shared" ca="1" si="37"/>
        <v>Done Inspect</v>
      </c>
      <c r="M226" s="180" t="str">
        <f t="shared" ca="1" si="38"/>
        <v>1. Certified</v>
      </c>
      <c r="N226" s="169"/>
      <c r="O226" s="169"/>
      <c r="P226" s="169"/>
      <c r="Q226" s="169"/>
    </row>
    <row r="227" spans="1:17">
      <c r="A227" s="169"/>
      <c r="B227" s="183" t="s">
        <v>317</v>
      </c>
      <c r="C227" s="170" t="s">
        <v>276</v>
      </c>
      <c r="D227" s="185">
        <v>20</v>
      </c>
      <c r="E227" s="170" t="s">
        <v>118</v>
      </c>
      <c r="F227" s="184">
        <v>46295</v>
      </c>
      <c r="G227" s="185"/>
      <c r="H227" s="184">
        <v>46660</v>
      </c>
      <c r="I227" s="170" t="s">
        <v>23</v>
      </c>
      <c r="J227" s="189">
        <f t="shared" ca="1" si="35"/>
        <v>21</v>
      </c>
      <c r="K227" s="189">
        <f t="shared" ca="1" si="36"/>
        <v>344</v>
      </c>
      <c r="L227" s="179" t="str">
        <f t="shared" ca="1" si="37"/>
        <v>Done Inspect</v>
      </c>
      <c r="M227" s="180" t="str">
        <f t="shared" ca="1" si="38"/>
        <v>1. Certified</v>
      </c>
      <c r="N227" s="170" t="s">
        <v>29</v>
      </c>
      <c r="O227" s="169"/>
      <c r="P227" s="170"/>
      <c r="Q227" s="169">
        <v>4010392940</v>
      </c>
    </row>
    <row r="228" spans="1:17">
      <c r="A228" s="169"/>
      <c r="B228" s="183" t="s">
        <v>318</v>
      </c>
      <c r="C228" s="170" t="s">
        <v>276</v>
      </c>
      <c r="D228" s="185">
        <v>20</v>
      </c>
      <c r="E228" s="170" t="s">
        <v>118</v>
      </c>
      <c r="F228" s="184">
        <v>46295</v>
      </c>
      <c r="G228" s="185"/>
      <c r="H228" s="184">
        <v>46660</v>
      </c>
      <c r="I228" s="170" t="s">
        <v>23</v>
      </c>
      <c r="J228" s="189">
        <f t="shared" ca="1" si="35"/>
        <v>21</v>
      </c>
      <c r="K228" s="189">
        <f t="shared" ca="1" si="36"/>
        <v>344</v>
      </c>
      <c r="L228" s="179" t="str">
        <f t="shared" ca="1" si="37"/>
        <v>Done Inspect</v>
      </c>
      <c r="M228" s="180" t="str">
        <f t="shared" ca="1" si="38"/>
        <v>1. Certified</v>
      </c>
      <c r="N228" s="170" t="s">
        <v>29</v>
      </c>
      <c r="O228" s="169"/>
      <c r="P228" s="170"/>
      <c r="Q228" s="169">
        <v>4010392940</v>
      </c>
    </row>
    <row r="229" spans="1:17">
      <c r="A229" s="169"/>
      <c r="B229" s="183" t="s">
        <v>319</v>
      </c>
      <c r="C229" s="170" t="s">
        <v>276</v>
      </c>
      <c r="D229" s="185">
        <v>20</v>
      </c>
      <c r="E229" s="170" t="s">
        <v>118</v>
      </c>
      <c r="F229" s="184">
        <v>46295</v>
      </c>
      <c r="G229" s="185"/>
      <c r="H229" s="184">
        <v>46660</v>
      </c>
      <c r="I229" s="170" t="s">
        <v>23</v>
      </c>
      <c r="J229" s="189">
        <f t="shared" ca="1" si="35"/>
        <v>21</v>
      </c>
      <c r="K229" s="189">
        <f t="shared" ca="1" si="36"/>
        <v>344</v>
      </c>
      <c r="L229" s="179" t="str">
        <f t="shared" ca="1" si="37"/>
        <v>Done Inspect</v>
      </c>
      <c r="M229" s="180" t="str">
        <f t="shared" ca="1" si="38"/>
        <v>1. Certified</v>
      </c>
      <c r="N229" s="170" t="s">
        <v>29</v>
      </c>
      <c r="O229" s="169"/>
      <c r="P229" s="170"/>
      <c r="Q229" s="169">
        <v>4010392940</v>
      </c>
    </row>
    <row r="230" spans="1:17">
      <c r="A230" s="169"/>
      <c r="B230" s="183" t="s">
        <v>320</v>
      </c>
      <c r="C230" s="170" t="s">
        <v>276</v>
      </c>
      <c r="D230" s="185">
        <v>20</v>
      </c>
      <c r="E230" s="170" t="s">
        <v>118</v>
      </c>
      <c r="F230" s="184">
        <v>46295</v>
      </c>
      <c r="G230" s="185"/>
      <c r="H230" s="184">
        <v>46660</v>
      </c>
      <c r="I230" s="170" t="s">
        <v>23</v>
      </c>
      <c r="J230" s="189">
        <f t="shared" ca="1" si="35"/>
        <v>21</v>
      </c>
      <c r="K230" s="189">
        <f t="shared" ca="1" si="36"/>
        <v>344</v>
      </c>
      <c r="L230" s="179" t="str">
        <f t="shared" ca="1" si="37"/>
        <v>Done Inspect</v>
      </c>
      <c r="M230" s="180" t="str">
        <f t="shared" ca="1" si="38"/>
        <v>1. Certified</v>
      </c>
      <c r="N230" s="170" t="s">
        <v>29</v>
      </c>
      <c r="O230" s="169"/>
      <c r="P230" s="170"/>
      <c r="Q230" s="169">
        <v>4010392940</v>
      </c>
    </row>
    <row r="231" spans="1:17">
      <c r="A231" s="169"/>
      <c r="B231" s="183" t="s">
        <v>321</v>
      </c>
      <c r="C231" s="170" t="s">
        <v>276</v>
      </c>
      <c r="D231" s="185">
        <v>20</v>
      </c>
      <c r="E231" s="170" t="s">
        <v>118</v>
      </c>
      <c r="F231" s="184">
        <v>46295</v>
      </c>
      <c r="G231" s="185"/>
      <c r="H231" s="184">
        <v>46660</v>
      </c>
      <c r="I231" s="170" t="s">
        <v>23</v>
      </c>
      <c r="J231" s="189">
        <f t="shared" ca="1" si="35"/>
        <v>21</v>
      </c>
      <c r="K231" s="189">
        <f t="shared" ca="1" si="36"/>
        <v>344</v>
      </c>
      <c r="L231" s="179" t="str">
        <f t="shared" ca="1" si="37"/>
        <v>Done Inspect</v>
      </c>
      <c r="M231" s="180" t="str">
        <f t="shared" ca="1" si="38"/>
        <v>1. Certified</v>
      </c>
      <c r="N231" s="170" t="s">
        <v>29</v>
      </c>
      <c r="O231" s="169"/>
      <c r="P231" s="170"/>
      <c r="Q231" s="169">
        <v>4010392940</v>
      </c>
    </row>
    <row r="232" spans="1:17">
      <c r="A232" s="169"/>
      <c r="B232" s="183" t="s">
        <v>322</v>
      </c>
      <c r="C232" s="170" t="s">
        <v>276</v>
      </c>
      <c r="D232" s="185">
        <v>20</v>
      </c>
      <c r="E232" s="170" t="s">
        <v>118</v>
      </c>
      <c r="F232" s="184">
        <v>46295</v>
      </c>
      <c r="G232" s="185"/>
      <c r="H232" s="184">
        <v>46660</v>
      </c>
      <c r="I232" s="170" t="s">
        <v>23</v>
      </c>
      <c r="J232" s="189">
        <f t="shared" ca="1" si="35"/>
        <v>21</v>
      </c>
      <c r="K232" s="189">
        <f t="shared" ca="1" si="36"/>
        <v>344</v>
      </c>
      <c r="L232" s="179" t="str">
        <f t="shared" ca="1" si="37"/>
        <v>Done Inspect</v>
      </c>
      <c r="M232" s="180" t="str">
        <f t="shared" ca="1" si="38"/>
        <v>1. Certified</v>
      </c>
      <c r="N232" s="170" t="s">
        <v>29</v>
      </c>
      <c r="O232" s="169"/>
      <c r="P232" s="170"/>
      <c r="Q232" s="169">
        <v>4010392940</v>
      </c>
    </row>
    <row r="233" spans="1:17">
      <c r="A233" s="169"/>
      <c r="B233" s="183" t="s">
        <v>323</v>
      </c>
      <c r="C233" s="170" t="s">
        <v>276</v>
      </c>
      <c r="D233" s="185">
        <v>20</v>
      </c>
      <c r="E233" s="170" t="s">
        <v>118</v>
      </c>
      <c r="F233" s="184">
        <v>46295</v>
      </c>
      <c r="G233" s="185"/>
      <c r="H233" s="184">
        <v>46660</v>
      </c>
      <c r="I233" s="170" t="s">
        <v>23</v>
      </c>
      <c r="J233" s="189">
        <f t="shared" ca="1" si="35"/>
        <v>21</v>
      </c>
      <c r="K233" s="189">
        <f t="shared" ca="1" si="36"/>
        <v>344</v>
      </c>
      <c r="L233" s="179" t="str">
        <f t="shared" ca="1" si="37"/>
        <v>Done Inspect</v>
      </c>
      <c r="M233" s="180" t="str">
        <f t="shared" ca="1" si="38"/>
        <v>1. Certified</v>
      </c>
      <c r="N233" s="170" t="s">
        <v>29</v>
      </c>
      <c r="O233" s="169"/>
      <c r="P233" s="170"/>
      <c r="Q233" s="169">
        <v>4010392940</v>
      </c>
    </row>
    <row r="234" spans="1:17">
      <c r="A234" s="169"/>
      <c r="B234" s="183" t="s">
        <v>324</v>
      </c>
      <c r="C234" s="170" t="s">
        <v>276</v>
      </c>
      <c r="D234" s="185">
        <v>20</v>
      </c>
      <c r="E234" s="170" t="s">
        <v>118</v>
      </c>
      <c r="F234" s="184">
        <v>46295</v>
      </c>
      <c r="G234" s="185"/>
      <c r="H234" s="184">
        <v>46660</v>
      </c>
      <c r="I234" s="170" t="s">
        <v>23</v>
      </c>
      <c r="J234" s="189">
        <f t="shared" ca="1" si="35"/>
        <v>21</v>
      </c>
      <c r="K234" s="189">
        <f t="shared" ca="1" si="36"/>
        <v>344</v>
      </c>
      <c r="L234" s="179" t="str">
        <f t="shared" ca="1" si="37"/>
        <v>Done Inspect</v>
      </c>
      <c r="M234" s="180" t="str">
        <f t="shared" ca="1" si="38"/>
        <v>1. Certified</v>
      </c>
      <c r="N234" s="170" t="s">
        <v>29</v>
      </c>
      <c r="O234" s="169"/>
      <c r="P234" s="170"/>
      <c r="Q234" s="169">
        <v>4010392940</v>
      </c>
    </row>
    <row r="235" spans="1:17">
      <c r="A235" s="169"/>
      <c r="B235" s="183" t="s">
        <v>325</v>
      </c>
      <c r="C235" s="170" t="s">
        <v>276</v>
      </c>
      <c r="D235" s="185">
        <v>30</v>
      </c>
      <c r="E235" s="170" t="s">
        <v>118</v>
      </c>
      <c r="F235" s="184">
        <v>46295</v>
      </c>
      <c r="G235" s="185"/>
      <c r="H235" s="184">
        <v>46660</v>
      </c>
      <c r="I235" s="170" t="s">
        <v>23</v>
      </c>
      <c r="J235" s="189">
        <f t="shared" ca="1" si="35"/>
        <v>21</v>
      </c>
      <c r="K235" s="189">
        <f t="shared" ca="1" si="36"/>
        <v>344</v>
      </c>
      <c r="L235" s="179" t="str">
        <f t="shared" ca="1" si="37"/>
        <v>Done Inspect</v>
      </c>
      <c r="M235" s="180" t="str">
        <f t="shared" ca="1" si="38"/>
        <v>1. Certified</v>
      </c>
      <c r="N235" s="170" t="s">
        <v>29</v>
      </c>
      <c r="O235" s="169"/>
      <c r="P235" s="170"/>
      <c r="Q235" s="169">
        <v>4010392940</v>
      </c>
    </row>
    <row r="236" spans="1:17">
      <c r="A236" s="169"/>
      <c r="B236" s="183" t="s">
        <v>326</v>
      </c>
      <c r="C236" s="170" t="s">
        <v>276</v>
      </c>
      <c r="D236" s="185">
        <v>30</v>
      </c>
      <c r="E236" s="170" t="s">
        <v>118</v>
      </c>
      <c r="F236" s="184">
        <v>46295</v>
      </c>
      <c r="G236" s="185"/>
      <c r="H236" s="184">
        <v>46660</v>
      </c>
      <c r="I236" s="170" t="s">
        <v>23</v>
      </c>
      <c r="J236" s="189">
        <f t="shared" ca="1" si="35"/>
        <v>21</v>
      </c>
      <c r="K236" s="189">
        <f t="shared" ca="1" si="36"/>
        <v>344</v>
      </c>
      <c r="L236" s="179" t="str">
        <f t="shared" ca="1" si="37"/>
        <v>Done Inspect</v>
      </c>
      <c r="M236" s="180" t="str">
        <f t="shared" ca="1" si="38"/>
        <v>1. Certified</v>
      </c>
      <c r="N236" s="170" t="s">
        <v>29</v>
      </c>
      <c r="O236" s="169"/>
      <c r="P236" s="170"/>
      <c r="Q236" s="169">
        <v>4010392940</v>
      </c>
    </row>
    <row r="237" spans="1:17">
      <c r="A237" s="169"/>
      <c r="B237" s="183" t="s">
        <v>327</v>
      </c>
      <c r="C237" s="170" t="s">
        <v>276</v>
      </c>
      <c r="D237" s="185">
        <v>15</v>
      </c>
      <c r="E237" s="170" t="s">
        <v>118</v>
      </c>
      <c r="F237" s="184">
        <v>46295</v>
      </c>
      <c r="G237" s="185"/>
      <c r="H237" s="184">
        <v>46660</v>
      </c>
      <c r="I237" s="170" t="s">
        <v>23</v>
      </c>
      <c r="J237" s="189">
        <f t="shared" ca="1" si="35"/>
        <v>21</v>
      </c>
      <c r="K237" s="189">
        <f t="shared" ca="1" si="36"/>
        <v>344</v>
      </c>
      <c r="L237" s="179" t="str">
        <f t="shared" ca="1" si="37"/>
        <v>Done Inspect</v>
      </c>
      <c r="M237" s="180" t="str">
        <f t="shared" ca="1" si="38"/>
        <v>1. Certified</v>
      </c>
      <c r="N237" s="170" t="s">
        <v>29</v>
      </c>
      <c r="O237" s="169"/>
      <c r="P237" s="170"/>
      <c r="Q237" s="169">
        <v>4010392940</v>
      </c>
    </row>
    <row r="238" spans="1:17">
      <c r="A238" s="169"/>
      <c r="B238" s="183" t="s">
        <v>328</v>
      </c>
      <c r="C238" s="170" t="s">
        <v>276</v>
      </c>
      <c r="D238" s="185">
        <v>30</v>
      </c>
      <c r="E238" s="170" t="s">
        <v>118</v>
      </c>
      <c r="F238" s="184">
        <v>46295</v>
      </c>
      <c r="G238" s="185"/>
      <c r="H238" s="184">
        <v>46660</v>
      </c>
      <c r="I238" s="170" t="s">
        <v>23</v>
      </c>
      <c r="J238" s="189">
        <f t="shared" ca="1" si="35"/>
        <v>21</v>
      </c>
      <c r="K238" s="189">
        <f t="shared" ca="1" si="36"/>
        <v>344</v>
      </c>
      <c r="L238" s="179" t="str">
        <f t="shared" ca="1" si="37"/>
        <v>Done Inspect</v>
      </c>
      <c r="M238" s="180" t="str">
        <f t="shared" ca="1" si="38"/>
        <v>1. Certified</v>
      </c>
      <c r="N238" s="170" t="s">
        <v>29</v>
      </c>
      <c r="O238" s="169"/>
      <c r="P238" s="170"/>
      <c r="Q238" s="169">
        <v>4010392940</v>
      </c>
    </row>
    <row r="239" spans="1:17">
      <c r="A239" s="169"/>
      <c r="B239" s="183" t="s">
        <v>329</v>
      </c>
      <c r="C239" s="170" t="s">
        <v>276</v>
      </c>
      <c r="D239" s="185">
        <v>30</v>
      </c>
      <c r="E239" s="170" t="s">
        <v>118</v>
      </c>
      <c r="F239" s="184">
        <v>46295</v>
      </c>
      <c r="G239" s="185"/>
      <c r="H239" s="184">
        <v>46660</v>
      </c>
      <c r="I239" s="170" t="s">
        <v>23</v>
      </c>
      <c r="J239" s="189">
        <f t="shared" ca="1" si="35"/>
        <v>21</v>
      </c>
      <c r="K239" s="189">
        <f t="shared" ca="1" si="36"/>
        <v>344</v>
      </c>
      <c r="L239" s="179" t="str">
        <f t="shared" ca="1" si="37"/>
        <v>Done Inspect</v>
      </c>
      <c r="M239" s="180" t="str">
        <f t="shared" ca="1" si="38"/>
        <v>1. Certified</v>
      </c>
      <c r="N239" s="170" t="s">
        <v>29</v>
      </c>
      <c r="O239" s="169"/>
      <c r="P239" s="170"/>
      <c r="Q239" s="169">
        <v>4010392940</v>
      </c>
    </row>
    <row r="240" spans="1:17">
      <c r="A240" s="169"/>
      <c r="B240" s="164" t="s">
        <v>330</v>
      </c>
      <c r="C240" s="165" t="s">
        <v>276</v>
      </c>
      <c r="D240" s="165">
        <v>20</v>
      </c>
      <c r="E240" s="170" t="s">
        <v>118</v>
      </c>
      <c r="F240" s="184">
        <v>46295</v>
      </c>
      <c r="G240" s="185"/>
      <c r="H240" s="184">
        <v>46660</v>
      </c>
      <c r="I240" s="170" t="s">
        <v>23</v>
      </c>
      <c r="J240" s="189">
        <f t="shared" ca="1" si="35"/>
        <v>21</v>
      </c>
      <c r="K240" s="189">
        <f t="shared" ca="1" si="36"/>
        <v>344</v>
      </c>
      <c r="L240" s="179" t="str">
        <f t="shared" ca="1" si="37"/>
        <v>Done Inspect</v>
      </c>
      <c r="M240" s="180" t="str">
        <f t="shared" ca="1" si="38"/>
        <v>1. Certified</v>
      </c>
      <c r="N240" s="170" t="s">
        <v>29</v>
      </c>
      <c r="O240" s="169"/>
      <c r="P240" s="170" t="s">
        <v>158</v>
      </c>
      <c r="Q240" s="169">
        <v>4010392940</v>
      </c>
    </row>
    <row r="241" spans="1:17">
      <c r="A241" s="169"/>
      <c r="B241" s="164" t="s">
        <v>331</v>
      </c>
      <c r="C241" s="165" t="s">
        <v>276</v>
      </c>
      <c r="D241" s="165">
        <v>20</v>
      </c>
      <c r="E241" s="170" t="s">
        <v>118</v>
      </c>
      <c r="F241" s="184">
        <v>46295</v>
      </c>
      <c r="G241" s="185"/>
      <c r="H241" s="184">
        <v>46660</v>
      </c>
      <c r="I241" s="170" t="s">
        <v>23</v>
      </c>
      <c r="J241" s="189">
        <f t="shared" ca="1" si="35"/>
        <v>21</v>
      </c>
      <c r="K241" s="189">
        <f t="shared" ca="1" si="36"/>
        <v>344</v>
      </c>
      <c r="L241" s="179" t="str">
        <f t="shared" ca="1" si="37"/>
        <v>Done Inspect</v>
      </c>
      <c r="M241" s="180" t="str">
        <f t="shared" ca="1" si="38"/>
        <v>1. Certified</v>
      </c>
      <c r="N241" s="170" t="s">
        <v>29</v>
      </c>
      <c r="O241" s="169"/>
      <c r="P241" s="170" t="s">
        <v>158</v>
      </c>
      <c r="Q241" s="169">
        <v>4010392940</v>
      </c>
    </row>
    <row r="242" spans="1:17">
      <c r="A242" s="169"/>
      <c r="B242" s="164" t="s">
        <v>332</v>
      </c>
      <c r="C242" s="165" t="s">
        <v>276</v>
      </c>
      <c r="D242" s="165">
        <v>20</v>
      </c>
      <c r="E242" s="170" t="s">
        <v>118</v>
      </c>
      <c r="F242" s="184">
        <v>46295</v>
      </c>
      <c r="G242" s="185"/>
      <c r="H242" s="184">
        <v>46660</v>
      </c>
      <c r="I242" s="170" t="s">
        <v>23</v>
      </c>
      <c r="J242" s="189">
        <f t="shared" ca="1" si="35"/>
        <v>21</v>
      </c>
      <c r="K242" s="189">
        <f t="shared" ca="1" si="36"/>
        <v>344</v>
      </c>
      <c r="L242" s="179" t="str">
        <f t="shared" ca="1" si="37"/>
        <v>Done Inspect</v>
      </c>
      <c r="M242" s="180" t="str">
        <f t="shared" ca="1" si="38"/>
        <v>1. Certified</v>
      </c>
      <c r="N242" s="170" t="s">
        <v>29</v>
      </c>
      <c r="O242" s="169"/>
      <c r="P242" s="170" t="s">
        <v>158</v>
      </c>
      <c r="Q242" s="169">
        <v>4010392940</v>
      </c>
    </row>
    <row r="243" spans="1:17">
      <c r="A243" s="169"/>
      <c r="B243" s="164" t="s">
        <v>333</v>
      </c>
      <c r="C243" s="165" t="s">
        <v>276</v>
      </c>
      <c r="D243" s="165">
        <v>20</v>
      </c>
      <c r="E243" s="170" t="s">
        <v>118</v>
      </c>
      <c r="F243" s="184">
        <v>46295</v>
      </c>
      <c r="G243" s="185"/>
      <c r="H243" s="184">
        <v>46660</v>
      </c>
      <c r="I243" s="170" t="s">
        <v>23</v>
      </c>
      <c r="J243" s="189">
        <f t="shared" ca="1" si="35"/>
        <v>21</v>
      </c>
      <c r="K243" s="189">
        <f t="shared" ca="1" si="36"/>
        <v>344</v>
      </c>
      <c r="L243" s="179" t="str">
        <f t="shared" ca="1" si="37"/>
        <v>Done Inspect</v>
      </c>
      <c r="M243" s="180" t="str">
        <f t="shared" ca="1" si="38"/>
        <v>1. Certified</v>
      </c>
      <c r="N243" s="170" t="s">
        <v>29</v>
      </c>
      <c r="O243" s="169"/>
      <c r="P243" s="170" t="s">
        <v>158</v>
      </c>
      <c r="Q243" s="169">
        <v>4010392940</v>
      </c>
    </row>
    <row r="244" spans="1:17">
      <c r="A244" s="169"/>
      <c r="B244" s="164" t="s">
        <v>334</v>
      </c>
      <c r="C244" s="165" t="s">
        <v>276</v>
      </c>
      <c r="D244" s="165">
        <v>20</v>
      </c>
      <c r="E244" s="170" t="s">
        <v>118</v>
      </c>
      <c r="F244" s="184">
        <v>46295</v>
      </c>
      <c r="G244" s="185"/>
      <c r="H244" s="184">
        <v>46660</v>
      </c>
      <c r="I244" s="170" t="s">
        <v>23</v>
      </c>
      <c r="J244" s="189">
        <f t="shared" ca="1" si="35"/>
        <v>21</v>
      </c>
      <c r="K244" s="189">
        <f t="shared" ca="1" si="36"/>
        <v>344</v>
      </c>
      <c r="L244" s="179" t="str">
        <f t="shared" ca="1" si="37"/>
        <v>Done Inspect</v>
      </c>
      <c r="M244" s="180" t="str">
        <f t="shared" ca="1" si="38"/>
        <v>1. Certified</v>
      </c>
      <c r="N244" s="170" t="s">
        <v>29</v>
      </c>
      <c r="O244" s="169"/>
      <c r="P244" s="170" t="s">
        <v>158</v>
      </c>
      <c r="Q244" s="169">
        <v>4010392940</v>
      </c>
    </row>
    <row r="245" spans="1:17">
      <c r="A245" s="169"/>
      <c r="B245" s="164" t="s">
        <v>335</v>
      </c>
      <c r="C245" s="165" t="s">
        <v>276</v>
      </c>
      <c r="D245" s="165">
        <v>20</v>
      </c>
      <c r="E245" s="170" t="s">
        <v>118</v>
      </c>
      <c r="F245" s="184">
        <v>46295</v>
      </c>
      <c r="G245" s="185"/>
      <c r="H245" s="184">
        <v>46660</v>
      </c>
      <c r="I245" s="170" t="s">
        <v>23</v>
      </c>
      <c r="J245" s="189">
        <f t="shared" ca="1" si="35"/>
        <v>21</v>
      </c>
      <c r="K245" s="189">
        <f t="shared" ca="1" si="36"/>
        <v>344</v>
      </c>
      <c r="L245" s="179" t="str">
        <f t="shared" ca="1" si="37"/>
        <v>Done Inspect</v>
      </c>
      <c r="M245" s="180" t="str">
        <f t="shared" ca="1" si="38"/>
        <v>1. Certified</v>
      </c>
      <c r="N245" s="170" t="s">
        <v>29</v>
      </c>
      <c r="O245" s="169"/>
      <c r="P245" s="170" t="s">
        <v>158</v>
      </c>
      <c r="Q245" s="169">
        <v>4010392940</v>
      </c>
    </row>
    <row r="246" spans="1:17">
      <c r="A246" s="169"/>
      <c r="B246" s="164" t="s">
        <v>336</v>
      </c>
      <c r="C246" s="165" t="s">
        <v>276</v>
      </c>
      <c r="D246" s="165">
        <v>20</v>
      </c>
      <c r="E246" s="170" t="s">
        <v>118</v>
      </c>
      <c r="F246" s="184">
        <v>46295</v>
      </c>
      <c r="G246" s="185"/>
      <c r="H246" s="184">
        <v>46660</v>
      </c>
      <c r="I246" s="170" t="s">
        <v>23</v>
      </c>
      <c r="J246" s="189">
        <f t="shared" ref="J246:J275" ca="1" si="39">IF(F246="","Need Inspect",TODAY()-F246)</f>
        <v>21</v>
      </c>
      <c r="K246" s="189">
        <f t="shared" ref="K246:K275" ca="1" si="40">IF(H246="","Need Inspect",H246-TODAY())</f>
        <v>344</v>
      </c>
      <c r="L246" s="179" t="str">
        <f t="shared" ref="L246:L275" ca="1" si="41">IF(K246="Need Inspect","Need Inspect",IF(K246&lt;0,"Expired",IF(K246&lt;=60,"Expired in &lt;2 Months","Done Inspect")))</f>
        <v>Done Inspect</v>
      </c>
      <c r="M246" s="180" t="str">
        <f t="shared" ref="M246:M275" ca="1" si="42">IF(OR(J246="Done Inspect",L246="Done Inspect"),"1. Certified",IF(OR(J246="Need Inspect",L246="Need Inspect"),"2. Need Inspect",IF(OR(J246="Last Insp. Date &gt;1 Year",L246="Expired"),"3. Need Certification","4. Prepare for Certification")))</f>
        <v>1. Certified</v>
      </c>
      <c r="N246" s="170" t="s">
        <v>29</v>
      </c>
      <c r="O246" s="169"/>
      <c r="P246" s="170" t="s">
        <v>158</v>
      </c>
      <c r="Q246" s="169">
        <v>4010392940</v>
      </c>
    </row>
    <row r="247" spans="1:17">
      <c r="A247" s="169"/>
      <c r="B247" s="164" t="s">
        <v>337</v>
      </c>
      <c r="C247" s="165" t="s">
        <v>276</v>
      </c>
      <c r="D247" s="165">
        <v>20</v>
      </c>
      <c r="E247" s="170" t="s">
        <v>118</v>
      </c>
      <c r="F247" s="184">
        <v>46295</v>
      </c>
      <c r="G247" s="185"/>
      <c r="H247" s="184">
        <v>46660</v>
      </c>
      <c r="I247" s="170" t="s">
        <v>23</v>
      </c>
      <c r="J247" s="189">
        <f t="shared" ca="1" si="39"/>
        <v>21</v>
      </c>
      <c r="K247" s="189">
        <f t="shared" ca="1" si="40"/>
        <v>344</v>
      </c>
      <c r="L247" s="179" t="str">
        <f t="shared" ca="1" si="41"/>
        <v>Done Inspect</v>
      </c>
      <c r="M247" s="180" t="str">
        <f t="shared" ca="1" si="42"/>
        <v>1. Certified</v>
      </c>
      <c r="N247" s="170" t="s">
        <v>29</v>
      </c>
      <c r="O247" s="169"/>
      <c r="P247" s="170" t="s">
        <v>158</v>
      </c>
      <c r="Q247" s="169">
        <v>4010392940</v>
      </c>
    </row>
    <row r="248" spans="1:17">
      <c r="A248" s="169"/>
      <c r="B248" s="164" t="s">
        <v>338</v>
      </c>
      <c r="C248" s="165" t="s">
        <v>276</v>
      </c>
      <c r="D248" s="165">
        <v>60</v>
      </c>
      <c r="E248" s="170" t="s">
        <v>118</v>
      </c>
      <c r="F248" s="184">
        <v>46295</v>
      </c>
      <c r="G248" s="185"/>
      <c r="H248" s="184">
        <v>46660</v>
      </c>
      <c r="I248" s="170" t="s">
        <v>23</v>
      </c>
      <c r="J248" s="189">
        <f t="shared" ca="1" si="39"/>
        <v>21</v>
      </c>
      <c r="K248" s="189">
        <f t="shared" ca="1" si="40"/>
        <v>344</v>
      </c>
      <c r="L248" s="179" t="str">
        <f t="shared" ca="1" si="41"/>
        <v>Done Inspect</v>
      </c>
      <c r="M248" s="180" t="str">
        <f t="shared" ca="1" si="42"/>
        <v>1. Certified</v>
      </c>
      <c r="N248" s="170" t="s">
        <v>29</v>
      </c>
      <c r="O248" s="169"/>
      <c r="P248" s="170" t="s">
        <v>158</v>
      </c>
      <c r="Q248" s="169">
        <v>4010392940</v>
      </c>
    </row>
    <row r="249" spans="1:17">
      <c r="A249" s="169"/>
      <c r="B249" s="164" t="s">
        <v>339</v>
      </c>
      <c r="C249" s="170" t="s">
        <v>340</v>
      </c>
      <c r="D249" s="170">
        <v>4</v>
      </c>
      <c r="E249" s="170" t="s">
        <v>341</v>
      </c>
      <c r="F249" s="167">
        <v>46266</v>
      </c>
      <c r="G249" s="169"/>
      <c r="H249" s="171">
        <v>46631</v>
      </c>
      <c r="I249" s="170" t="s">
        <v>23</v>
      </c>
      <c r="J249" s="179">
        <f t="shared" ca="1" si="39"/>
        <v>50</v>
      </c>
      <c r="K249" s="179">
        <f t="shared" ca="1" si="40"/>
        <v>315</v>
      </c>
      <c r="L249" s="179" t="str">
        <f t="shared" ca="1" si="41"/>
        <v>Done Inspect</v>
      </c>
      <c r="M249" s="180" t="str">
        <f t="shared" ca="1" si="42"/>
        <v>1. Certified</v>
      </c>
      <c r="N249" s="170" t="s">
        <v>29</v>
      </c>
      <c r="O249" s="169"/>
      <c r="P249" s="169"/>
      <c r="Q249" s="169">
        <v>4010392940</v>
      </c>
    </row>
    <row r="250" spans="1:17">
      <c r="A250" s="169"/>
      <c r="B250" s="164" t="s">
        <v>342</v>
      </c>
      <c r="C250" s="170" t="s">
        <v>340</v>
      </c>
      <c r="D250" s="170">
        <v>4</v>
      </c>
      <c r="E250" s="170" t="s">
        <v>341</v>
      </c>
      <c r="F250" s="167">
        <v>46266</v>
      </c>
      <c r="G250" s="169"/>
      <c r="H250" s="171">
        <v>46631</v>
      </c>
      <c r="I250" s="170" t="s">
        <v>23</v>
      </c>
      <c r="J250" s="179">
        <f t="shared" ca="1" si="39"/>
        <v>50</v>
      </c>
      <c r="K250" s="179">
        <f t="shared" ca="1" si="40"/>
        <v>315</v>
      </c>
      <c r="L250" s="179" t="str">
        <f t="shared" ca="1" si="41"/>
        <v>Done Inspect</v>
      </c>
      <c r="M250" s="180" t="str">
        <f t="shared" ca="1" si="42"/>
        <v>1. Certified</v>
      </c>
      <c r="N250" s="170" t="s">
        <v>29</v>
      </c>
      <c r="O250" s="169"/>
      <c r="P250" s="169"/>
      <c r="Q250" s="169">
        <v>4010392940</v>
      </c>
    </row>
    <row r="251" spans="1:17">
      <c r="A251" s="169"/>
      <c r="B251" s="168" t="s">
        <v>343</v>
      </c>
      <c r="C251" s="170" t="s">
        <v>344</v>
      </c>
      <c r="D251" s="172">
        <v>2.5</v>
      </c>
      <c r="E251" s="170" t="s">
        <v>58</v>
      </c>
      <c r="F251" s="167">
        <v>45988</v>
      </c>
      <c r="G251" s="169"/>
      <c r="H251" s="171">
        <v>46359</v>
      </c>
      <c r="I251" s="170" t="s">
        <v>23</v>
      </c>
      <c r="J251" s="179">
        <f t="shared" ca="1" si="39"/>
        <v>328</v>
      </c>
      <c r="K251" s="179">
        <f t="shared" ca="1" si="40"/>
        <v>43</v>
      </c>
      <c r="L251" s="179" t="str">
        <f t="shared" ca="1" si="41"/>
        <v>Expired in &lt;2 Months</v>
      </c>
      <c r="M251" s="180" t="str">
        <f t="shared" ca="1" si="42"/>
        <v>4. Prepare for Certification</v>
      </c>
      <c r="N251" s="169"/>
      <c r="O251" s="169"/>
      <c r="P251" s="169"/>
      <c r="Q251" s="169"/>
    </row>
    <row r="252" spans="1:17">
      <c r="A252" s="169"/>
      <c r="B252" s="168" t="s">
        <v>345</v>
      </c>
      <c r="C252" s="170" t="s">
        <v>344</v>
      </c>
      <c r="D252" s="172">
        <v>2.5</v>
      </c>
      <c r="E252" s="170" t="s">
        <v>58</v>
      </c>
      <c r="F252" s="167">
        <v>45988</v>
      </c>
      <c r="G252" s="169"/>
      <c r="H252" s="171">
        <v>46359</v>
      </c>
      <c r="I252" s="170" t="s">
        <v>23</v>
      </c>
      <c r="J252" s="179">
        <f t="shared" ca="1" si="39"/>
        <v>328</v>
      </c>
      <c r="K252" s="179">
        <f t="shared" ca="1" si="40"/>
        <v>43</v>
      </c>
      <c r="L252" s="179" t="str">
        <f t="shared" ca="1" si="41"/>
        <v>Expired in &lt;2 Months</v>
      </c>
      <c r="M252" s="180" t="str">
        <f t="shared" ca="1" si="42"/>
        <v>4. Prepare for Certification</v>
      </c>
      <c r="N252" s="169"/>
      <c r="O252" s="169"/>
      <c r="P252" s="169"/>
      <c r="Q252" s="169"/>
    </row>
    <row r="253" spans="1:17">
      <c r="A253" s="169"/>
      <c r="B253" s="168" t="s">
        <v>346</v>
      </c>
      <c r="C253" s="170" t="s">
        <v>344</v>
      </c>
      <c r="D253" s="172">
        <v>2.5</v>
      </c>
      <c r="E253" s="170" t="s">
        <v>58</v>
      </c>
      <c r="F253" s="167">
        <v>45988</v>
      </c>
      <c r="G253" s="169"/>
      <c r="H253" s="171">
        <v>46359</v>
      </c>
      <c r="I253" s="170" t="s">
        <v>23</v>
      </c>
      <c r="J253" s="179">
        <f t="shared" ca="1" si="39"/>
        <v>328</v>
      </c>
      <c r="K253" s="179">
        <f t="shared" ca="1" si="40"/>
        <v>43</v>
      </c>
      <c r="L253" s="179" t="str">
        <f t="shared" ca="1" si="41"/>
        <v>Expired in &lt;2 Months</v>
      </c>
      <c r="M253" s="180" t="str">
        <f t="shared" ca="1" si="42"/>
        <v>4. Prepare for Certification</v>
      </c>
      <c r="N253" s="169"/>
      <c r="O253" s="169"/>
      <c r="P253" s="169"/>
      <c r="Q253" s="169"/>
    </row>
    <row r="254" spans="1:17" s="163" customFormat="1" ht="13">
      <c r="A254" s="169"/>
      <c r="B254" s="168" t="s">
        <v>347</v>
      </c>
      <c r="C254" s="170" t="s">
        <v>344</v>
      </c>
      <c r="D254" s="172">
        <v>2.5</v>
      </c>
      <c r="E254" s="170" t="s">
        <v>58</v>
      </c>
      <c r="F254" s="167">
        <v>45988</v>
      </c>
      <c r="G254" s="169"/>
      <c r="H254" s="171">
        <v>46359</v>
      </c>
      <c r="I254" s="170" t="s">
        <v>23</v>
      </c>
      <c r="J254" s="180">
        <f t="shared" ca="1" si="39"/>
        <v>328</v>
      </c>
      <c r="K254" s="180">
        <f t="shared" ca="1" si="40"/>
        <v>43</v>
      </c>
      <c r="L254" s="179" t="str">
        <f t="shared" ca="1" si="41"/>
        <v>Expired in &lt;2 Months</v>
      </c>
      <c r="M254" s="180" t="str">
        <f t="shared" ca="1" si="42"/>
        <v>4. Prepare for Certification</v>
      </c>
      <c r="N254" s="169"/>
      <c r="O254" s="169"/>
      <c r="P254" s="169"/>
      <c r="Q254" s="169"/>
    </row>
    <row r="255" spans="1:17" s="163" customFormat="1" ht="13">
      <c r="A255" s="169"/>
      <c r="B255" s="168" t="s">
        <v>348</v>
      </c>
      <c r="C255" s="170" t="s">
        <v>344</v>
      </c>
      <c r="D255" s="172">
        <v>2.5</v>
      </c>
      <c r="E255" s="170" t="s">
        <v>58</v>
      </c>
      <c r="F255" s="167">
        <v>45988</v>
      </c>
      <c r="G255" s="169"/>
      <c r="H255" s="171">
        <v>46359</v>
      </c>
      <c r="I255" s="170" t="s">
        <v>23</v>
      </c>
      <c r="J255" s="180">
        <f t="shared" ca="1" si="39"/>
        <v>328</v>
      </c>
      <c r="K255" s="180">
        <f t="shared" ca="1" si="40"/>
        <v>43</v>
      </c>
      <c r="L255" s="179" t="str">
        <f t="shared" ca="1" si="41"/>
        <v>Expired in &lt;2 Months</v>
      </c>
      <c r="M255" s="180" t="str">
        <f t="shared" ca="1" si="42"/>
        <v>4. Prepare for Certification</v>
      </c>
      <c r="N255" s="169"/>
      <c r="O255" s="169"/>
      <c r="P255" s="169"/>
      <c r="Q255" s="169"/>
    </row>
    <row r="256" spans="1:17" s="163" customFormat="1" ht="13">
      <c r="A256" s="169"/>
      <c r="B256" s="168" t="s">
        <v>349</v>
      </c>
      <c r="C256" s="170" t="s">
        <v>344</v>
      </c>
      <c r="D256" s="172">
        <v>2.5</v>
      </c>
      <c r="E256" s="170" t="s">
        <v>58</v>
      </c>
      <c r="F256" s="167">
        <v>45988</v>
      </c>
      <c r="G256" s="169"/>
      <c r="H256" s="171">
        <v>46359</v>
      </c>
      <c r="I256" s="170" t="s">
        <v>23</v>
      </c>
      <c r="J256" s="180">
        <f t="shared" ca="1" si="39"/>
        <v>328</v>
      </c>
      <c r="K256" s="180">
        <f t="shared" ca="1" si="40"/>
        <v>43</v>
      </c>
      <c r="L256" s="179" t="str">
        <f t="shared" ca="1" si="41"/>
        <v>Expired in &lt;2 Months</v>
      </c>
      <c r="M256" s="180" t="str">
        <f t="shared" ca="1" si="42"/>
        <v>4. Prepare for Certification</v>
      </c>
      <c r="N256" s="169"/>
      <c r="O256" s="169"/>
      <c r="P256" s="169"/>
      <c r="Q256" s="169"/>
    </row>
    <row r="257" spans="1:17" s="163" customFormat="1" ht="13">
      <c r="A257" s="169"/>
      <c r="B257" s="168" t="s">
        <v>350</v>
      </c>
      <c r="C257" s="170" t="s">
        <v>344</v>
      </c>
      <c r="D257" s="172">
        <v>2.5</v>
      </c>
      <c r="E257" s="170" t="s">
        <v>58</v>
      </c>
      <c r="F257" s="167">
        <v>45988</v>
      </c>
      <c r="G257" s="169"/>
      <c r="H257" s="171">
        <v>46359</v>
      </c>
      <c r="I257" s="170" t="s">
        <v>23</v>
      </c>
      <c r="J257" s="180">
        <f t="shared" ca="1" si="39"/>
        <v>328</v>
      </c>
      <c r="K257" s="180">
        <f t="shared" ca="1" si="40"/>
        <v>43</v>
      </c>
      <c r="L257" s="179" t="str">
        <f t="shared" ca="1" si="41"/>
        <v>Expired in &lt;2 Months</v>
      </c>
      <c r="M257" s="180" t="str">
        <f t="shared" ca="1" si="42"/>
        <v>4. Prepare for Certification</v>
      </c>
      <c r="N257" s="169"/>
      <c r="O257" s="169"/>
      <c r="P257" s="169"/>
      <c r="Q257" s="169"/>
    </row>
    <row r="258" spans="1:17" s="163" customFormat="1" ht="13">
      <c r="A258" s="169"/>
      <c r="B258" s="168" t="s">
        <v>351</v>
      </c>
      <c r="C258" s="170" t="s">
        <v>344</v>
      </c>
      <c r="D258" s="172">
        <v>2.5</v>
      </c>
      <c r="E258" s="170" t="s">
        <v>58</v>
      </c>
      <c r="F258" s="167">
        <v>45988</v>
      </c>
      <c r="G258" s="169"/>
      <c r="H258" s="171">
        <v>46359</v>
      </c>
      <c r="I258" s="170" t="s">
        <v>23</v>
      </c>
      <c r="J258" s="180">
        <f t="shared" ca="1" si="39"/>
        <v>328</v>
      </c>
      <c r="K258" s="180">
        <f t="shared" ca="1" si="40"/>
        <v>43</v>
      </c>
      <c r="L258" s="179" t="str">
        <f t="shared" ca="1" si="41"/>
        <v>Expired in &lt;2 Months</v>
      </c>
      <c r="M258" s="180" t="str">
        <f t="shared" ca="1" si="42"/>
        <v>4. Prepare for Certification</v>
      </c>
      <c r="N258" s="169"/>
      <c r="O258" s="169"/>
      <c r="P258" s="169"/>
      <c r="Q258" s="169"/>
    </row>
    <row r="259" spans="1:17" s="163" customFormat="1" ht="13">
      <c r="A259" s="169"/>
      <c r="B259" s="168" t="s">
        <v>352</v>
      </c>
      <c r="C259" s="170" t="s">
        <v>344</v>
      </c>
      <c r="D259" s="172">
        <v>2.5</v>
      </c>
      <c r="E259" s="170" t="s">
        <v>58</v>
      </c>
      <c r="F259" s="167">
        <v>45988</v>
      </c>
      <c r="G259" s="169"/>
      <c r="H259" s="171">
        <v>46359</v>
      </c>
      <c r="I259" s="170" t="s">
        <v>23</v>
      </c>
      <c r="J259" s="180">
        <f t="shared" ca="1" si="39"/>
        <v>328</v>
      </c>
      <c r="K259" s="180">
        <f t="shared" ca="1" si="40"/>
        <v>43</v>
      </c>
      <c r="L259" s="179" t="str">
        <f t="shared" ca="1" si="41"/>
        <v>Expired in &lt;2 Months</v>
      </c>
      <c r="M259" s="180" t="str">
        <f t="shared" ca="1" si="42"/>
        <v>4. Prepare for Certification</v>
      </c>
      <c r="N259" s="169"/>
      <c r="O259" s="169"/>
      <c r="P259" s="169"/>
      <c r="Q259" s="169"/>
    </row>
    <row r="260" spans="1:17" s="163" customFormat="1" ht="13">
      <c r="A260" s="169"/>
      <c r="B260" s="164" t="s">
        <v>353</v>
      </c>
      <c r="C260" s="170" t="s">
        <v>354</v>
      </c>
      <c r="D260" s="165">
        <v>1.5</v>
      </c>
      <c r="E260" s="170" t="s">
        <v>74</v>
      </c>
      <c r="F260" s="167">
        <v>46268</v>
      </c>
      <c r="G260" s="169"/>
      <c r="H260" s="167">
        <v>46633</v>
      </c>
      <c r="I260" s="170" t="s">
        <v>23</v>
      </c>
      <c r="J260" s="180">
        <f t="shared" ca="1" si="39"/>
        <v>48</v>
      </c>
      <c r="K260" s="180">
        <f t="shared" ca="1" si="40"/>
        <v>317</v>
      </c>
      <c r="L260" s="179" t="str">
        <f t="shared" ca="1" si="41"/>
        <v>Done Inspect</v>
      </c>
      <c r="M260" s="180" t="str">
        <f t="shared" ca="1" si="42"/>
        <v>1. Certified</v>
      </c>
      <c r="N260" s="170" t="s">
        <v>29</v>
      </c>
      <c r="O260" s="169"/>
      <c r="P260" s="169"/>
      <c r="Q260" s="169">
        <v>4010392940</v>
      </c>
    </row>
    <row r="261" spans="1:17" s="163" customFormat="1" ht="13">
      <c r="A261" s="169"/>
      <c r="B261" s="164" t="s">
        <v>355</v>
      </c>
      <c r="C261" s="170" t="s">
        <v>354</v>
      </c>
      <c r="D261" s="165">
        <v>1.5</v>
      </c>
      <c r="E261" s="170" t="s">
        <v>74</v>
      </c>
      <c r="F261" s="167">
        <v>46268</v>
      </c>
      <c r="G261" s="169"/>
      <c r="H261" s="167">
        <v>46633</v>
      </c>
      <c r="I261" s="170" t="s">
        <v>23</v>
      </c>
      <c r="J261" s="180">
        <f t="shared" ca="1" si="39"/>
        <v>48</v>
      </c>
      <c r="K261" s="180">
        <f t="shared" ca="1" si="40"/>
        <v>317</v>
      </c>
      <c r="L261" s="179" t="str">
        <f t="shared" ca="1" si="41"/>
        <v>Done Inspect</v>
      </c>
      <c r="M261" s="180" t="str">
        <f t="shared" ca="1" si="42"/>
        <v>1. Certified</v>
      </c>
      <c r="N261" s="170" t="s">
        <v>29</v>
      </c>
      <c r="O261" s="169"/>
      <c r="P261" s="169"/>
      <c r="Q261" s="169">
        <v>4010392940</v>
      </c>
    </row>
    <row r="262" spans="1:17" s="163" customFormat="1" ht="13">
      <c r="A262" s="169"/>
      <c r="B262" s="164" t="s">
        <v>356</v>
      </c>
      <c r="C262" s="170" t="s">
        <v>354</v>
      </c>
      <c r="D262" s="165">
        <v>1.5</v>
      </c>
      <c r="E262" s="170" t="s">
        <v>74</v>
      </c>
      <c r="F262" s="167">
        <v>46268</v>
      </c>
      <c r="G262" s="169"/>
      <c r="H262" s="167">
        <v>46633</v>
      </c>
      <c r="I262" s="170" t="s">
        <v>23</v>
      </c>
      <c r="J262" s="180">
        <f t="shared" ca="1" si="39"/>
        <v>48</v>
      </c>
      <c r="K262" s="180">
        <f t="shared" ca="1" si="40"/>
        <v>317</v>
      </c>
      <c r="L262" s="179" t="str">
        <f t="shared" ca="1" si="41"/>
        <v>Done Inspect</v>
      </c>
      <c r="M262" s="180" t="str">
        <f t="shared" ca="1" si="42"/>
        <v>1. Certified</v>
      </c>
      <c r="N262" s="170" t="s">
        <v>29</v>
      </c>
      <c r="O262" s="169"/>
      <c r="P262" s="169"/>
      <c r="Q262" s="169">
        <v>4010392940</v>
      </c>
    </row>
    <row r="263" spans="1:17" s="163" customFormat="1" ht="13">
      <c r="A263" s="169"/>
      <c r="B263" s="164" t="s">
        <v>357</v>
      </c>
      <c r="C263" s="170" t="s">
        <v>354</v>
      </c>
      <c r="D263" s="165">
        <v>2.5</v>
      </c>
      <c r="E263" s="170" t="s">
        <v>74</v>
      </c>
      <c r="F263" s="167">
        <v>46268</v>
      </c>
      <c r="G263" s="169"/>
      <c r="H263" s="167">
        <v>46633</v>
      </c>
      <c r="I263" s="170" t="s">
        <v>23</v>
      </c>
      <c r="J263" s="180">
        <f t="shared" ca="1" si="39"/>
        <v>48</v>
      </c>
      <c r="K263" s="180">
        <f t="shared" ca="1" si="40"/>
        <v>317</v>
      </c>
      <c r="L263" s="179" t="str">
        <f t="shared" ca="1" si="41"/>
        <v>Done Inspect</v>
      </c>
      <c r="M263" s="180" t="str">
        <f t="shared" ca="1" si="42"/>
        <v>1. Certified</v>
      </c>
      <c r="N263" s="170" t="s">
        <v>29</v>
      </c>
      <c r="O263" s="169"/>
      <c r="P263" s="169"/>
      <c r="Q263" s="169">
        <v>4010392940</v>
      </c>
    </row>
    <row r="264" spans="1:17" s="163" customFormat="1" ht="13">
      <c r="A264" s="169"/>
      <c r="B264" s="164" t="s">
        <v>358</v>
      </c>
      <c r="C264" s="170" t="s">
        <v>354</v>
      </c>
      <c r="D264" s="165">
        <v>2.5</v>
      </c>
      <c r="E264" s="170" t="s">
        <v>74</v>
      </c>
      <c r="F264" s="167">
        <v>46268</v>
      </c>
      <c r="G264" s="169"/>
      <c r="H264" s="167">
        <v>46633</v>
      </c>
      <c r="I264" s="170" t="s">
        <v>23</v>
      </c>
      <c r="J264" s="180">
        <f t="shared" ca="1" si="39"/>
        <v>48</v>
      </c>
      <c r="K264" s="180">
        <f t="shared" ca="1" si="40"/>
        <v>317</v>
      </c>
      <c r="L264" s="179" t="str">
        <f t="shared" ca="1" si="41"/>
        <v>Done Inspect</v>
      </c>
      <c r="M264" s="180" t="str">
        <f t="shared" ca="1" si="42"/>
        <v>1. Certified</v>
      </c>
      <c r="N264" s="170" t="s">
        <v>29</v>
      </c>
      <c r="O264" s="169"/>
      <c r="P264" s="169"/>
      <c r="Q264" s="169">
        <v>4010392940</v>
      </c>
    </row>
    <row r="265" spans="1:17" s="163" customFormat="1" ht="13">
      <c r="A265" s="169"/>
      <c r="B265" s="164" t="s">
        <v>359</v>
      </c>
      <c r="C265" s="170" t="s">
        <v>354</v>
      </c>
      <c r="D265" s="165">
        <v>2.5</v>
      </c>
      <c r="E265" s="170" t="s">
        <v>74</v>
      </c>
      <c r="F265" s="167">
        <v>46268</v>
      </c>
      <c r="G265" s="169"/>
      <c r="H265" s="167">
        <v>46633</v>
      </c>
      <c r="I265" s="170" t="s">
        <v>23</v>
      </c>
      <c r="J265" s="180">
        <f t="shared" ca="1" si="39"/>
        <v>48</v>
      </c>
      <c r="K265" s="180">
        <f t="shared" ca="1" si="40"/>
        <v>317</v>
      </c>
      <c r="L265" s="179" t="str">
        <f t="shared" ca="1" si="41"/>
        <v>Done Inspect</v>
      </c>
      <c r="M265" s="180" t="str">
        <f t="shared" ca="1" si="42"/>
        <v>1. Certified</v>
      </c>
      <c r="N265" s="170" t="s">
        <v>29</v>
      </c>
      <c r="O265" s="169"/>
      <c r="P265" s="169"/>
      <c r="Q265" s="169">
        <v>4010392940</v>
      </c>
    </row>
    <row r="266" spans="1:17" s="163" customFormat="1" ht="13">
      <c r="A266" s="169"/>
      <c r="B266" s="164" t="s">
        <v>360</v>
      </c>
      <c r="C266" s="170" t="s">
        <v>354</v>
      </c>
      <c r="D266" s="165">
        <v>4</v>
      </c>
      <c r="E266" s="170" t="s">
        <v>74</v>
      </c>
      <c r="F266" s="167">
        <v>46268</v>
      </c>
      <c r="G266" s="169"/>
      <c r="H266" s="167">
        <v>46633</v>
      </c>
      <c r="I266" s="170" t="s">
        <v>23</v>
      </c>
      <c r="J266" s="180">
        <f t="shared" ca="1" si="39"/>
        <v>48</v>
      </c>
      <c r="K266" s="180">
        <f t="shared" ca="1" si="40"/>
        <v>317</v>
      </c>
      <c r="L266" s="179" t="str">
        <f t="shared" ca="1" si="41"/>
        <v>Done Inspect</v>
      </c>
      <c r="M266" s="180" t="str">
        <f t="shared" ca="1" si="42"/>
        <v>1. Certified</v>
      </c>
      <c r="N266" s="170" t="s">
        <v>29</v>
      </c>
      <c r="O266" s="169"/>
      <c r="P266" s="169"/>
      <c r="Q266" s="169">
        <v>4010392940</v>
      </c>
    </row>
    <row r="267" spans="1:17" s="163" customFormat="1" ht="13">
      <c r="B267" s="164" t="s">
        <v>361</v>
      </c>
      <c r="C267" s="170" t="s">
        <v>354</v>
      </c>
      <c r="D267" s="165">
        <v>4</v>
      </c>
      <c r="E267" s="170" t="s">
        <v>74</v>
      </c>
      <c r="F267" s="167">
        <v>46268</v>
      </c>
      <c r="G267" s="169"/>
      <c r="H267" s="167">
        <v>46633</v>
      </c>
      <c r="I267" s="170" t="s">
        <v>23</v>
      </c>
      <c r="J267" s="180">
        <f t="shared" ca="1" si="39"/>
        <v>48</v>
      </c>
      <c r="K267" s="180">
        <f t="shared" ca="1" si="40"/>
        <v>317</v>
      </c>
      <c r="L267" s="179" t="str">
        <f t="shared" ca="1" si="41"/>
        <v>Done Inspect</v>
      </c>
      <c r="M267" s="180" t="str">
        <f t="shared" ca="1" si="42"/>
        <v>1. Certified</v>
      </c>
      <c r="N267" s="170" t="s">
        <v>29</v>
      </c>
      <c r="O267" s="169"/>
      <c r="P267" s="169"/>
      <c r="Q267" s="169">
        <v>4010392940</v>
      </c>
    </row>
    <row r="268" spans="1:17" s="163" customFormat="1" ht="13">
      <c r="B268" s="164" t="s">
        <v>362</v>
      </c>
      <c r="C268" s="170" t="s">
        <v>354</v>
      </c>
      <c r="D268" s="165">
        <v>4</v>
      </c>
      <c r="E268" s="170" t="s">
        <v>74</v>
      </c>
      <c r="F268" s="167">
        <v>46268</v>
      </c>
      <c r="G268" s="169"/>
      <c r="H268" s="167">
        <v>46633</v>
      </c>
      <c r="I268" s="170" t="s">
        <v>23</v>
      </c>
      <c r="J268" s="180">
        <f t="shared" ca="1" si="39"/>
        <v>48</v>
      </c>
      <c r="K268" s="180">
        <f t="shared" ca="1" si="40"/>
        <v>317</v>
      </c>
      <c r="L268" s="179" t="str">
        <f t="shared" ca="1" si="41"/>
        <v>Done Inspect</v>
      </c>
      <c r="M268" s="180" t="str">
        <f t="shared" ca="1" si="42"/>
        <v>1. Certified</v>
      </c>
      <c r="N268" s="170" t="s">
        <v>29</v>
      </c>
      <c r="O268" s="169"/>
      <c r="P268" s="169"/>
      <c r="Q268" s="169">
        <v>4010392940</v>
      </c>
    </row>
    <row r="269" spans="1:17">
      <c r="B269" s="164" t="s">
        <v>363</v>
      </c>
      <c r="C269" s="170" t="s">
        <v>364</v>
      </c>
      <c r="D269" s="172">
        <v>0</v>
      </c>
      <c r="E269" s="170" t="s">
        <v>58</v>
      </c>
      <c r="F269" s="167">
        <v>45988</v>
      </c>
      <c r="G269" s="169"/>
      <c r="H269" s="171">
        <v>46359</v>
      </c>
      <c r="I269" s="170" t="s">
        <v>23</v>
      </c>
      <c r="J269" s="180">
        <f t="shared" ca="1" si="39"/>
        <v>328</v>
      </c>
      <c r="K269" s="180">
        <f t="shared" ca="1" si="40"/>
        <v>43</v>
      </c>
      <c r="L269" s="179" t="str">
        <f t="shared" ca="1" si="41"/>
        <v>Expired in &lt;2 Months</v>
      </c>
      <c r="M269" s="180" t="str">
        <f t="shared" ca="1" si="42"/>
        <v>4. Prepare for Certification</v>
      </c>
      <c r="N269" s="169"/>
      <c r="O269" s="169"/>
      <c r="P269" s="169"/>
      <c r="Q269" s="169"/>
    </row>
    <row r="270" spans="1:17">
      <c r="B270" s="168" t="s">
        <v>365</v>
      </c>
      <c r="C270" s="170" t="s">
        <v>364</v>
      </c>
      <c r="D270" s="170">
        <v>0</v>
      </c>
      <c r="E270" s="170" t="s">
        <v>58</v>
      </c>
      <c r="F270" s="167">
        <v>45988</v>
      </c>
      <c r="G270" s="169"/>
      <c r="H270" s="171">
        <v>46359</v>
      </c>
      <c r="I270" s="170" t="s">
        <v>23</v>
      </c>
      <c r="J270" s="180">
        <f t="shared" ca="1" si="39"/>
        <v>328</v>
      </c>
      <c r="K270" s="180">
        <f t="shared" ca="1" si="40"/>
        <v>43</v>
      </c>
      <c r="L270" s="179" t="str">
        <f t="shared" ca="1" si="41"/>
        <v>Expired in &lt;2 Months</v>
      </c>
      <c r="M270" s="180" t="str">
        <f t="shared" ca="1" si="42"/>
        <v>4. Prepare for Certification</v>
      </c>
      <c r="N270" s="169"/>
      <c r="O270" s="169"/>
      <c r="P270" s="169"/>
      <c r="Q270" s="169"/>
    </row>
    <row r="271" spans="1:17">
      <c r="B271" s="168" t="s">
        <v>366</v>
      </c>
      <c r="C271" s="170" t="s">
        <v>364</v>
      </c>
      <c r="D271" s="170">
        <v>0.5</v>
      </c>
      <c r="E271" s="170" t="s">
        <v>58</v>
      </c>
      <c r="F271" s="167">
        <v>45988</v>
      </c>
      <c r="G271" s="169"/>
      <c r="H271" s="171">
        <v>46359</v>
      </c>
      <c r="I271" s="170" t="s">
        <v>23</v>
      </c>
      <c r="J271" s="180">
        <f t="shared" ca="1" si="39"/>
        <v>328</v>
      </c>
      <c r="K271" s="180">
        <f t="shared" ca="1" si="40"/>
        <v>43</v>
      </c>
      <c r="L271" s="179" t="str">
        <f t="shared" ca="1" si="41"/>
        <v>Expired in &lt;2 Months</v>
      </c>
      <c r="M271" s="180" t="str">
        <f t="shared" ca="1" si="42"/>
        <v>4. Prepare for Certification</v>
      </c>
      <c r="N271" s="169"/>
      <c r="O271" s="169"/>
      <c r="P271" s="169"/>
      <c r="Q271" s="169"/>
    </row>
    <row r="272" spans="1:17">
      <c r="B272" s="164" t="s">
        <v>367</v>
      </c>
      <c r="C272" s="170" t="s">
        <v>368</v>
      </c>
      <c r="D272" s="169"/>
      <c r="E272" s="170" t="s">
        <v>369</v>
      </c>
      <c r="F272" s="167">
        <v>46268</v>
      </c>
      <c r="G272" s="169"/>
      <c r="H272" s="167">
        <v>46633</v>
      </c>
      <c r="I272" s="170" t="s">
        <v>23</v>
      </c>
      <c r="J272" s="180">
        <f t="shared" ca="1" si="39"/>
        <v>48</v>
      </c>
      <c r="K272" s="180">
        <f t="shared" ca="1" si="40"/>
        <v>317</v>
      </c>
      <c r="L272" s="179" t="str">
        <f t="shared" ca="1" si="41"/>
        <v>Done Inspect</v>
      </c>
      <c r="M272" s="180" t="str">
        <f t="shared" ca="1" si="42"/>
        <v>1. Certified</v>
      </c>
      <c r="N272" s="170" t="s">
        <v>29</v>
      </c>
      <c r="O272" s="169"/>
      <c r="P272" s="169"/>
      <c r="Q272" s="169">
        <v>4010392940</v>
      </c>
    </row>
    <row r="273" spans="2:17">
      <c r="B273" s="168" t="s">
        <v>370</v>
      </c>
      <c r="C273" s="170" t="s">
        <v>371</v>
      </c>
      <c r="D273" s="170">
        <v>9</v>
      </c>
      <c r="E273" s="170" t="s">
        <v>54</v>
      </c>
      <c r="F273" s="167">
        <v>46293</v>
      </c>
      <c r="G273" s="169"/>
      <c r="H273" s="167">
        <v>46658</v>
      </c>
      <c r="I273" s="170" t="s">
        <v>23</v>
      </c>
      <c r="J273" s="180">
        <f t="shared" ca="1" si="39"/>
        <v>23</v>
      </c>
      <c r="K273" s="180">
        <f t="shared" ca="1" si="40"/>
        <v>342</v>
      </c>
      <c r="L273" s="179" t="str">
        <f t="shared" ca="1" si="41"/>
        <v>Done Inspect</v>
      </c>
      <c r="M273" s="180" t="str">
        <f t="shared" ca="1" si="42"/>
        <v>1. Certified</v>
      </c>
      <c r="N273" s="170" t="s">
        <v>29</v>
      </c>
      <c r="O273" s="169"/>
      <c r="P273" s="170"/>
      <c r="Q273" s="169">
        <v>4010394682</v>
      </c>
    </row>
    <row r="274" spans="2:17">
      <c r="B274" s="168" t="s">
        <v>372</v>
      </c>
      <c r="C274" s="170" t="s">
        <v>371</v>
      </c>
      <c r="D274" s="170">
        <v>9.0719999999999992</v>
      </c>
      <c r="E274" s="170" t="s">
        <v>54</v>
      </c>
      <c r="F274" s="167">
        <v>45988</v>
      </c>
      <c r="G274" s="169"/>
      <c r="H274" s="171">
        <v>46359</v>
      </c>
      <c r="I274" s="170" t="s">
        <v>23</v>
      </c>
      <c r="J274" s="180">
        <f t="shared" ca="1" si="39"/>
        <v>328</v>
      </c>
      <c r="K274" s="180">
        <f t="shared" ca="1" si="40"/>
        <v>43</v>
      </c>
      <c r="L274" s="179" t="str">
        <f t="shared" ca="1" si="41"/>
        <v>Expired in &lt;2 Months</v>
      </c>
      <c r="M274" s="180" t="str">
        <f t="shared" ca="1" si="42"/>
        <v>4. Prepare for Certification</v>
      </c>
      <c r="N274" s="169"/>
      <c r="O274" s="169"/>
      <c r="P274" s="169"/>
      <c r="Q274" s="169"/>
    </row>
    <row r="275" spans="2:17">
      <c r="B275" s="168" t="s">
        <v>373</v>
      </c>
      <c r="C275" s="170"/>
      <c r="D275" s="170">
        <v>2</v>
      </c>
      <c r="E275" s="170" t="s">
        <v>374</v>
      </c>
      <c r="F275" s="171">
        <v>46041</v>
      </c>
      <c r="G275" s="170" t="s">
        <v>375</v>
      </c>
      <c r="H275" s="171">
        <v>46406</v>
      </c>
      <c r="I275" s="170" t="s">
        <v>23</v>
      </c>
      <c r="J275" s="180">
        <f t="shared" ca="1" si="39"/>
        <v>275</v>
      </c>
      <c r="K275" s="180">
        <f t="shared" ca="1" si="40"/>
        <v>90</v>
      </c>
      <c r="L275" s="179" t="str">
        <f t="shared" ca="1" si="41"/>
        <v>Done Inspect</v>
      </c>
      <c r="M275" s="180" t="str">
        <f t="shared" ca="1" si="42"/>
        <v>1. Certified</v>
      </c>
      <c r="N275" s="169"/>
      <c r="O275" s="169"/>
      <c r="P275" s="169"/>
      <c r="Q275" s="169"/>
    </row>
  </sheetData>
  <autoFilter ref="A1:Q275" xr:uid="{6086CE35-BFFE-41B7-B4FE-E5B0E38B6003}">
    <sortState xmlns:xlrd2="http://schemas.microsoft.com/office/spreadsheetml/2017/richdata2" ref="A2:Q275">
      <sortCondition ref="C1:C275"/>
    </sortState>
  </autoFilter>
  <phoneticPr fontId="18" type="noConversion"/>
  <conditionalFormatting sqref="B1">
    <cfRule type="duplicateValues" dxfId="42" priority="30"/>
  </conditionalFormatting>
  <conditionalFormatting sqref="B2">
    <cfRule type="duplicateValues" dxfId="41" priority="29"/>
  </conditionalFormatting>
  <conditionalFormatting sqref="B3:B241">
    <cfRule type="duplicateValues" dxfId="40" priority="55"/>
  </conditionalFormatting>
  <conditionalFormatting sqref="B267:B275">
    <cfRule type="duplicateValues" dxfId="39" priority="3"/>
  </conditionalFormatting>
  <conditionalFormatting sqref="F2:F117 F123:F240">
    <cfRule type="containsText" dxfId="38" priority="26" operator="containsText" text="AKTIF">
      <formula>NOT(ISERROR(SEARCH("AKTIF",F2)))</formula>
    </cfRule>
    <cfRule type="containsText" dxfId="37" priority="27" operator="containsText" text="EXPIRED">
      <formula>NOT(ISERROR(SEARCH("EXPIRED",F2)))</formula>
    </cfRule>
  </conditionalFormatting>
  <conditionalFormatting sqref="F7 F10">
    <cfRule type="containsText" dxfId="36" priority="20" operator="containsText" text="AKTIF">
      <formula>NOT(ISERROR(SEARCH("AKTIF",F7)))</formula>
    </cfRule>
    <cfRule type="containsText" dxfId="35" priority="21" operator="containsText" text="EXPIRED">
      <formula>NOT(ISERROR(SEARCH("EXPIRED",F7)))</formula>
    </cfRule>
  </conditionalFormatting>
  <conditionalFormatting sqref="G2 J2:J275">
    <cfRule type="cellIs" dxfId="34" priority="12" operator="greaterThan">
      <formula>365</formula>
    </cfRule>
    <cfRule type="cellIs" dxfId="33" priority="13" operator="between">
      <formula>301</formula>
      <formula>365</formula>
    </cfRule>
    <cfRule type="cellIs" dxfId="32" priority="14" operator="between">
      <formula>181</formula>
      <formula>300</formula>
    </cfRule>
    <cfRule type="cellIs" dxfId="31" priority="15" operator="between">
      <formula>0.1</formula>
      <formula>180</formula>
    </cfRule>
  </conditionalFormatting>
  <conditionalFormatting sqref="H2:H15">
    <cfRule type="containsText" dxfId="30" priority="1" operator="containsText" text="AKTIF">
      <formula>NOT(ISERROR(SEARCH("AKTIF",H2)))</formula>
    </cfRule>
    <cfRule type="containsText" dxfId="29" priority="2" operator="containsText" text="EXPIRED">
      <formula>NOT(ISERROR(SEARCH("EXPIRED",H2)))</formula>
    </cfRule>
  </conditionalFormatting>
  <conditionalFormatting sqref="H123">
    <cfRule type="containsText" dxfId="28" priority="18" operator="containsText" text="AKTIF">
      <formula>NOT(ISERROR(SEARCH("AKTIF",H123)))</formula>
    </cfRule>
    <cfRule type="containsText" dxfId="27" priority="19" operator="containsText" text="EXPIRED">
      <formula>NOT(ISERROR(SEARCH("EXPIRED",H123)))</formula>
    </cfRule>
  </conditionalFormatting>
  <conditionalFormatting sqref="H235">
    <cfRule type="containsText" dxfId="26" priority="16" operator="containsText" text="AKTIF">
      <formula>NOT(ISERROR(SEARCH("AKTIF",H235)))</formula>
    </cfRule>
    <cfRule type="containsText" dxfId="25" priority="17" operator="containsText" text="EXPIRED">
      <formula>NOT(ISERROR(SEARCH("EXPIRED",H235)))</formula>
    </cfRule>
  </conditionalFormatting>
  <conditionalFormatting sqref="K2:K275">
    <cfRule type="cellIs" dxfId="24" priority="4" operator="equal">
      <formula>"Need Inspect"</formula>
    </cfRule>
    <cfRule type="cellIs" dxfId="23" priority="5" operator="greaterThan">
      <formula>60</formula>
    </cfRule>
    <cfRule type="cellIs" dxfId="22" priority="6" operator="between">
      <formula>0.1</formula>
      <formula>60</formula>
    </cfRule>
    <cfRule type="cellIs" dxfId="21" priority="7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44"/>
  <sheetViews>
    <sheetView view="pageBreakPreview" zoomScale="55" zoomScaleNormal="71" zoomScaleSheetLayoutView="55" workbookViewId="0">
      <pane xSplit="3" ySplit="1" topLeftCell="D7" activePane="bottomRight" state="frozenSplit"/>
      <selection pane="topRight" activeCell="F9" sqref="F9"/>
      <selection pane="bottomLeft" activeCell="F9" sqref="F9"/>
      <selection pane="bottomRight" activeCell="E240" sqref="E240"/>
    </sheetView>
  </sheetViews>
  <sheetFormatPr defaultColWidth="9.08984375" defaultRowHeight="15.5"/>
  <cols>
    <col min="1" max="1" width="10.36328125" style="48" bestFit="1" customWidth="1"/>
    <col min="2" max="2" width="27.6328125" style="48" bestFit="1" customWidth="1"/>
    <col min="3" max="3" width="46" style="48" bestFit="1" customWidth="1"/>
    <col min="4" max="4" width="40.26953125" style="75" bestFit="1" customWidth="1"/>
    <col min="5" max="5" width="22.90625" style="48" customWidth="1"/>
    <col min="6" max="6" width="19.08984375" style="75" customWidth="1"/>
    <col min="7" max="9" width="22.08984375" style="58" customWidth="1"/>
    <col min="10" max="10" width="26.7265625" style="58" customWidth="1"/>
    <col min="11" max="11" width="13.36328125" style="81" customWidth="1"/>
    <col min="12" max="12" width="14.7265625" style="81" bestFit="1" customWidth="1"/>
    <col min="13" max="13" width="19.7265625" style="48" customWidth="1"/>
    <col min="14" max="14" width="23.90625" style="48" bestFit="1" customWidth="1"/>
    <col min="15" max="15" width="34.08984375" style="48" bestFit="1" customWidth="1"/>
    <col min="16" max="16" width="21.36328125" style="48" bestFit="1" customWidth="1"/>
    <col min="17" max="16384" width="9.08984375" style="48"/>
  </cols>
  <sheetData>
    <row r="1" spans="1:16" ht="30" customHeight="1">
      <c r="A1" s="98" t="s">
        <v>376</v>
      </c>
      <c r="B1" s="99" t="s">
        <v>377</v>
      </c>
      <c r="C1" s="100" t="s">
        <v>378</v>
      </c>
      <c r="D1" s="101" t="s">
        <v>379</v>
      </c>
      <c r="E1" s="101" t="s">
        <v>380</v>
      </c>
      <c r="F1" s="99" t="s">
        <v>381</v>
      </c>
      <c r="G1" s="102" t="s">
        <v>382</v>
      </c>
      <c r="H1" s="103" t="s">
        <v>383</v>
      </c>
      <c r="I1" s="103" t="s">
        <v>384</v>
      </c>
      <c r="J1" s="104" t="s">
        <v>385</v>
      </c>
      <c r="K1" s="105" t="s">
        <v>386</v>
      </c>
      <c r="L1" s="105" t="s">
        <v>387</v>
      </c>
      <c r="M1" s="101" t="s">
        <v>388</v>
      </c>
      <c r="N1" s="101" t="s">
        <v>389</v>
      </c>
      <c r="O1" s="104" t="s">
        <v>390</v>
      </c>
      <c r="P1" s="106" t="s">
        <v>391</v>
      </c>
    </row>
    <row r="2" spans="1:16" hidden="1">
      <c r="A2" s="112"/>
      <c r="B2" s="54"/>
      <c r="C2" s="76" t="s">
        <v>392</v>
      </c>
      <c r="D2" s="52"/>
      <c r="E2" s="52">
        <v>0.1</v>
      </c>
      <c r="F2" s="52"/>
      <c r="G2" s="59">
        <v>45662</v>
      </c>
      <c r="H2" s="61" t="s">
        <v>393</v>
      </c>
      <c r="I2" s="61"/>
      <c r="J2" s="59"/>
      <c r="K2" s="113">
        <v>1010281980</v>
      </c>
      <c r="L2" s="79">
        <v>4010363923</v>
      </c>
      <c r="M2" s="52" t="s">
        <v>394</v>
      </c>
      <c r="N2" s="52" t="s">
        <v>395</v>
      </c>
      <c r="O2" s="54" t="s">
        <v>396</v>
      </c>
      <c r="P2" s="92"/>
    </row>
    <row r="3" spans="1:16" hidden="1">
      <c r="A3" s="112"/>
      <c r="B3" s="54"/>
      <c r="C3" s="76" t="s">
        <v>397</v>
      </c>
      <c r="D3" s="52"/>
      <c r="E3" s="52">
        <v>0.1</v>
      </c>
      <c r="F3" s="52"/>
      <c r="G3" s="59">
        <v>45662</v>
      </c>
      <c r="H3" s="61" t="s">
        <v>393</v>
      </c>
      <c r="I3" s="61"/>
      <c r="J3" s="59"/>
      <c r="K3" s="79">
        <v>1010281980</v>
      </c>
      <c r="L3" s="79">
        <v>4010360257</v>
      </c>
      <c r="M3" s="52" t="s">
        <v>394</v>
      </c>
      <c r="N3" s="52" t="s">
        <v>395</v>
      </c>
      <c r="O3" s="54" t="s">
        <v>396</v>
      </c>
      <c r="P3" s="92"/>
    </row>
    <row r="4" spans="1:16" hidden="1">
      <c r="A4" s="112"/>
      <c r="B4" s="54"/>
      <c r="C4" s="76" t="s">
        <v>398</v>
      </c>
      <c r="D4" s="52"/>
      <c r="E4" s="52">
        <v>0.1</v>
      </c>
      <c r="F4" s="52"/>
      <c r="G4" s="59">
        <v>45662</v>
      </c>
      <c r="H4" s="61" t="s">
        <v>393</v>
      </c>
      <c r="I4" s="61"/>
      <c r="J4" s="59"/>
      <c r="K4" s="79">
        <v>1010281980</v>
      </c>
      <c r="L4" s="79">
        <v>4010360257</v>
      </c>
      <c r="M4" s="52" t="s">
        <v>394</v>
      </c>
      <c r="N4" s="52" t="s">
        <v>395</v>
      </c>
      <c r="O4" s="54" t="s">
        <v>396</v>
      </c>
      <c r="P4" s="92"/>
    </row>
    <row r="5" spans="1:16" hidden="1">
      <c r="A5" s="112"/>
      <c r="B5" s="54" t="s">
        <v>399</v>
      </c>
      <c r="C5" s="65" t="s">
        <v>400</v>
      </c>
      <c r="D5" s="66"/>
      <c r="E5" s="52">
        <v>2</v>
      </c>
      <c r="F5" s="66"/>
      <c r="G5" s="61">
        <v>45777</v>
      </c>
      <c r="H5" s="61" t="s">
        <v>393</v>
      </c>
      <c r="I5" s="61"/>
      <c r="J5" s="61"/>
      <c r="K5" s="79">
        <v>1010281980</v>
      </c>
      <c r="L5" s="79">
        <v>4010360257</v>
      </c>
      <c r="M5" s="52" t="s">
        <v>401</v>
      </c>
      <c r="N5" s="52" t="s">
        <v>402</v>
      </c>
      <c r="O5" s="52" t="s">
        <v>403</v>
      </c>
      <c r="P5" s="94" t="s">
        <v>404</v>
      </c>
    </row>
    <row r="6" spans="1:16" hidden="1">
      <c r="A6" s="112"/>
      <c r="B6" s="54" t="s">
        <v>159</v>
      </c>
      <c r="C6" s="76" t="s">
        <v>160</v>
      </c>
      <c r="D6" s="52" t="s">
        <v>160</v>
      </c>
      <c r="E6" s="52">
        <v>100</v>
      </c>
      <c r="F6" s="52"/>
      <c r="G6" s="59">
        <v>45909</v>
      </c>
      <c r="H6" s="61" t="s">
        <v>393</v>
      </c>
      <c r="I6" s="61">
        <v>45544</v>
      </c>
      <c r="J6" s="59"/>
      <c r="K6" s="79">
        <v>1010280232</v>
      </c>
      <c r="L6" s="79">
        <v>4010359799</v>
      </c>
      <c r="M6" s="52" t="s">
        <v>405</v>
      </c>
      <c r="N6" s="52" t="s">
        <v>406</v>
      </c>
      <c r="O6" s="52" t="s">
        <v>403</v>
      </c>
      <c r="P6" s="94" t="s">
        <v>407</v>
      </c>
    </row>
    <row r="7" spans="1:16">
      <c r="A7" s="132"/>
      <c r="B7" s="133" t="s">
        <v>408</v>
      </c>
      <c r="C7" s="134" t="s">
        <v>139</v>
      </c>
      <c r="D7" s="60" t="str">
        <f>SERTIFIKASI_ALAT[[#This Row],[DESCRIPTION]]</f>
        <v>HAND PALLET</v>
      </c>
      <c r="E7" s="60">
        <v>3</v>
      </c>
      <c r="F7" s="60"/>
      <c r="G7" s="135">
        <v>46265</v>
      </c>
      <c r="H7" s="135" t="s">
        <v>409</v>
      </c>
      <c r="I7" s="67">
        <v>46247</v>
      </c>
      <c r="J7" s="135">
        <f t="shared" ref="J7:J38" si="0">G7-14</f>
        <v>46251</v>
      </c>
      <c r="K7" s="136"/>
      <c r="L7" s="136"/>
      <c r="M7" s="60"/>
      <c r="N7" s="60"/>
      <c r="O7" s="135" t="s">
        <v>403</v>
      </c>
      <c r="P7" s="160"/>
    </row>
    <row r="8" spans="1:16">
      <c r="A8" s="132"/>
      <c r="B8" s="133" t="s">
        <v>410</v>
      </c>
      <c r="C8" s="134" t="s">
        <v>139</v>
      </c>
      <c r="D8" s="60" t="str">
        <f>SERTIFIKASI_ALAT[[#This Row],[DESCRIPTION]]</f>
        <v>HAND PALLET</v>
      </c>
      <c r="E8" s="60">
        <v>3</v>
      </c>
      <c r="F8" s="60"/>
      <c r="G8" s="135">
        <v>46265</v>
      </c>
      <c r="H8" s="135" t="s">
        <v>409</v>
      </c>
      <c r="I8" s="67">
        <v>46247</v>
      </c>
      <c r="J8" s="135">
        <f t="shared" si="0"/>
        <v>46251</v>
      </c>
      <c r="K8" s="136"/>
      <c r="L8" s="136"/>
      <c r="M8" s="60"/>
      <c r="N8" s="60"/>
      <c r="O8" s="135" t="s">
        <v>403</v>
      </c>
      <c r="P8" s="160"/>
    </row>
    <row r="9" spans="1:16" hidden="1">
      <c r="A9" s="90"/>
      <c r="B9" s="50" t="s">
        <v>35</v>
      </c>
      <c r="C9" s="51" t="s">
        <v>36</v>
      </c>
      <c r="D9" s="49" t="str">
        <f>SERTIFIKASI_ALAT[[#This Row],[DESCRIPTION]]</f>
        <v>CHAIN SLING</v>
      </c>
      <c r="E9" s="49">
        <v>2.6</v>
      </c>
      <c r="F9" s="49"/>
      <c r="G9" s="56">
        <v>46298</v>
      </c>
      <c r="H9" s="59" t="s">
        <v>411</v>
      </c>
      <c r="I9" s="59">
        <v>45933</v>
      </c>
      <c r="J9" s="59">
        <f t="shared" si="0"/>
        <v>46284</v>
      </c>
      <c r="K9" s="59"/>
      <c r="L9" s="79">
        <v>4010363923</v>
      </c>
      <c r="M9" s="49"/>
      <c r="N9" s="49"/>
      <c r="O9" s="49"/>
      <c r="P9" s="93"/>
    </row>
    <row r="10" spans="1:16" ht="15" hidden="1" customHeight="1">
      <c r="A10" s="90"/>
      <c r="B10" s="50" t="s">
        <v>39</v>
      </c>
      <c r="C10" s="51" t="s">
        <v>36</v>
      </c>
      <c r="D10" s="49" t="str">
        <f>SERTIFIKASI_ALAT[[#This Row],[DESCRIPTION]]</f>
        <v>CHAIN SLING</v>
      </c>
      <c r="E10" s="49">
        <v>5.5</v>
      </c>
      <c r="F10" s="49"/>
      <c r="G10" s="56">
        <v>46298</v>
      </c>
      <c r="H10" s="59" t="s">
        <v>411</v>
      </c>
      <c r="I10" s="59">
        <v>45933</v>
      </c>
      <c r="J10" s="59">
        <f t="shared" si="0"/>
        <v>46284</v>
      </c>
      <c r="K10" s="59"/>
      <c r="L10" s="79">
        <v>4010363923</v>
      </c>
      <c r="M10" s="49"/>
      <c r="N10" s="49"/>
      <c r="O10" s="49"/>
      <c r="P10" s="93"/>
    </row>
    <row r="11" spans="1:16" ht="15" hidden="1" customHeight="1">
      <c r="A11" s="90"/>
      <c r="B11" s="50" t="s">
        <v>42</v>
      </c>
      <c r="C11" s="51" t="s">
        <v>36</v>
      </c>
      <c r="D11" s="49" t="str">
        <f>SERTIFIKASI_ALAT[[#This Row],[DESCRIPTION]]</f>
        <v>CHAIN SLING</v>
      </c>
      <c r="E11" s="49">
        <v>2.6</v>
      </c>
      <c r="F11" s="49"/>
      <c r="G11" s="56">
        <v>46298</v>
      </c>
      <c r="H11" s="59" t="s">
        <v>411</v>
      </c>
      <c r="I11" s="59">
        <v>45933</v>
      </c>
      <c r="J11" s="59">
        <f t="shared" si="0"/>
        <v>46284</v>
      </c>
      <c r="K11" s="59"/>
      <c r="L11" s="79">
        <v>4010363923</v>
      </c>
      <c r="M11" s="49"/>
      <c r="N11" s="49"/>
      <c r="O11" s="49"/>
      <c r="P11" s="93"/>
    </row>
    <row r="12" spans="1:16" s="137" customFormat="1" ht="15" hidden="1" customHeight="1">
      <c r="A12" s="90"/>
      <c r="B12" s="50" t="s">
        <v>44</v>
      </c>
      <c r="C12" s="51" t="s">
        <v>36</v>
      </c>
      <c r="D12" s="49" t="str">
        <f>SERTIFIKASI_ALAT[[#This Row],[DESCRIPTION]]</f>
        <v>CHAIN SLING</v>
      </c>
      <c r="E12" s="49">
        <v>5.5</v>
      </c>
      <c r="F12" s="49"/>
      <c r="G12" s="56">
        <v>46298</v>
      </c>
      <c r="H12" s="59" t="s">
        <v>411</v>
      </c>
      <c r="I12" s="59">
        <v>45933</v>
      </c>
      <c r="J12" s="59">
        <f t="shared" si="0"/>
        <v>46284</v>
      </c>
      <c r="K12" s="59"/>
      <c r="L12" s="79">
        <v>4010363923</v>
      </c>
      <c r="M12" s="49"/>
      <c r="N12" s="49"/>
      <c r="O12" s="49"/>
      <c r="P12" s="93"/>
    </row>
    <row r="13" spans="1:16" s="78" customFormat="1" hidden="1">
      <c r="A13" s="90"/>
      <c r="B13" s="50" t="s">
        <v>46</v>
      </c>
      <c r="C13" s="51" t="s">
        <v>36</v>
      </c>
      <c r="D13" s="49" t="str">
        <f>SERTIFIKASI_ALAT[[#This Row],[DESCRIPTION]]</f>
        <v>CHAIN SLING</v>
      </c>
      <c r="E13" s="49">
        <v>5.5</v>
      </c>
      <c r="F13" s="49"/>
      <c r="G13" s="56">
        <v>46298</v>
      </c>
      <c r="H13" s="59" t="s">
        <v>411</v>
      </c>
      <c r="I13" s="59">
        <v>45933</v>
      </c>
      <c r="J13" s="59">
        <f t="shared" si="0"/>
        <v>46284</v>
      </c>
      <c r="K13" s="59"/>
      <c r="L13" s="79">
        <v>4010363923</v>
      </c>
      <c r="M13" s="49"/>
      <c r="N13" s="49"/>
      <c r="O13" s="49"/>
      <c r="P13" s="93"/>
    </row>
    <row r="14" spans="1:16" s="137" customFormat="1" ht="15" hidden="1" customHeight="1">
      <c r="A14" s="90"/>
      <c r="B14" s="50" t="s">
        <v>48</v>
      </c>
      <c r="C14" s="51" t="s">
        <v>36</v>
      </c>
      <c r="D14" s="49" t="str">
        <f>SERTIFIKASI_ALAT[[#This Row],[DESCRIPTION]]</f>
        <v>CHAIN SLING</v>
      </c>
      <c r="E14" s="49">
        <v>5.5</v>
      </c>
      <c r="F14" s="49"/>
      <c r="G14" s="56">
        <v>46298</v>
      </c>
      <c r="H14" s="59" t="s">
        <v>411</v>
      </c>
      <c r="I14" s="59">
        <v>45933</v>
      </c>
      <c r="J14" s="59">
        <f t="shared" si="0"/>
        <v>46284</v>
      </c>
      <c r="K14" s="59"/>
      <c r="L14" s="79">
        <v>4010363923</v>
      </c>
      <c r="M14" s="49"/>
      <c r="N14" s="49"/>
      <c r="O14" s="49"/>
      <c r="P14" s="93"/>
    </row>
    <row r="15" spans="1:16" ht="15" hidden="1" customHeight="1">
      <c r="A15" s="90"/>
      <c r="B15" s="50" t="s">
        <v>50</v>
      </c>
      <c r="C15" s="51" t="s">
        <v>36</v>
      </c>
      <c r="D15" s="49" t="str">
        <f>SERTIFIKASI_ALAT[[#This Row],[DESCRIPTION]]</f>
        <v>CHAIN SLING</v>
      </c>
      <c r="E15" s="49">
        <v>13</v>
      </c>
      <c r="F15" s="49"/>
      <c r="G15" s="56">
        <v>46298</v>
      </c>
      <c r="H15" s="59" t="s">
        <v>411</v>
      </c>
      <c r="I15" s="59">
        <v>45933</v>
      </c>
      <c r="J15" s="59">
        <f t="shared" si="0"/>
        <v>46284</v>
      </c>
      <c r="K15" s="59"/>
      <c r="L15" s="79">
        <v>4010363923</v>
      </c>
      <c r="M15" s="49"/>
      <c r="N15" s="49"/>
      <c r="O15" s="49"/>
      <c r="P15" s="93"/>
    </row>
    <row r="16" spans="1:16" s="78" customFormat="1" hidden="1">
      <c r="A16" s="90"/>
      <c r="B16" s="50" t="s">
        <v>25</v>
      </c>
      <c r="C16" s="51" t="s">
        <v>26</v>
      </c>
      <c r="D16" s="49" t="s">
        <v>26</v>
      </c>
      <c r="E16" s="49"/>
      <c r="F16" s="49"/>
      <c r="G16" s="56">
        <v>46298</v>
      </c>
      <c r="H16" s="59" t="s">
        <v>411</v>
      </c>
      <c r="I16" s="59">
        <v>45933</v>
      </c>
      <c r="J16" s="59">
        <f t="shared" si="0"/>
        <v>46284</v>
      </c>
      <c r="K16" s="59"/>
      <c r="L16" s="79">
        <v>4010363923</v>
      </c>
      <c r="M16" s="49" t="s">
        <v>412</v>
      </c>
      <c r="N16" s="49" t="s">
        <v>413</v>
      </c>
      <c r="O16" s="49"/>
      <c r="P16" s="93"/>
    </row>
    <row r="17" spans="1:16" ht="15" hidden="1" customHeight="1">
      <c r="A17" s="90"/>
      <c r="B17" s="50" t="s">
        <v>370</v>
      </c>
      <c r="C17" s="51" t="s">
        <v>371</v>
      </c>
      <c r="D17" s="49" t="str">
        <f>SERTIFIKASI_ALAT[[#This Row],[DESCRIPTION]]</f>
        <v>TOOL JACK &amp; ROLL OVER STAND ENGINE</v>
      </c>
      <c r="E17" s="49">
        <v>9</v>
      </c>
      <c r="F17" s="49"/>
      <c r="G17" s="56">
        <v>46298</v>
      </c>
      <c r="H17" s="59" t="s">
        <v>411</v>
      </c>
      <c r="I17" s="59">
        <v>45933</v>
      </c>
      <c r="J17" s="59">
        <f t="shared" si="0"/>
        <v>46284</v>
      </c>
      <c r="K17" s="59"/>
      <c r="L17" s="79">
        <v>4010363923</v>
      </c>
      <c r="M17" s="49" t="s">
        <v>414</v>
      </c>
      <c r="N17" s="49"/>
      <c r="O17" s="49"/>
      <c r="P17" s="95"/>
    </row>
    <row r="18" spans="1:16" ht="15" hidden="1" customHeight="1">
      <c r="A18" s="90"/>
      <c r="B18" s="50" t="s">
        <v>161</v>
      </c>
      <c r="C18" s="51" t="s">
        <v>160</v>
      </c>
      <c r="D18" s="49" t="str">
        <f>SERTIFIKASI_ALAT[[#This Row],[DESCRIPTION]]</f>
        <v>JACK PRESS</v>
      </c>
      <c r="E18" s="49">
        <v>150</v>
      </c>
      <c r="F18" s="49"/>
      <c r="G18" s="56">
        <v>46298</v>
      </c>
      <c r="H18" s="59" t="s">
        <v>411</v>
      </c>
      <c r="I18" s="59">
        <v>45933</v>
      </c>
      <c r="J18" s="59">
        <f t="shared" si="0"/>
        <v>46284</v>
      </c>
      <c r="K18" s="80"/>
      <c r="L18" s="79">
        <v>4010363923</v>
      </c>
      <c r="M18" s="49" t="s">
        <v>414</v>
      </c>
      <c r="N18" s="49" t="s">
        <v>406</v>
      </c>
      <c r="O18" s="49"/>
      <c r="P18" s="93"/>
    </row>
    <row r="19" spans="1:16" ht="15" hidden="1" customHeight="1">
      <c r="A19" s="90"/>
      <c r="B19" s="50" t="s">
        <v>132</v>
      </c>
      <c r="C19" s="51" t="s">
        <v>133</v>
      </c>
      <c r="D19" s="49" t="str">
        <f>SERTIFIKASI_ALAT[[#This Row],[DESCRIPTION]]</f>
        <v xml:space="preserve">Fuel Tank  </v>
      </c>
      <c r="E19" s="49"/>
      <c r="F19" s="49" t="s">
        <v>415</v>
      </c>
      <c r="G19" s="56">
        <v>46317</v>
      </c>
      <c r="H19" s="59" t="s">
        <v>411</v>
      </c>
      <c r="I19" s="56">
        <v>45952</v>
      </c>
      <c r="J19" s="59">
        <f t="shared" si="0"/>
        <v>46303</v>
      </c>
      <c r="K19" s="80"/>
      <c r="L19" s="80"/>
      <c r="M19" s="49"/>
      <c r="N19" s="49"/>
      <c r="O19" s="49"/>
      <c r="P19" s="93"/>
    </row>
    <row r="20" spans="1:16" ht="15" hidden="1" customHeight="1">
      <c r="A20" s="90"/>
      <c r="B20" s="50" t="s">
        <v>128</v>
      </c>
      <c r="C20" s="51" t="s">
        <v>129</v>
      </c>
      <c r="D20" s="49" t="str">
        <f>SERTIFIKASI_ALAT[[#This Row],[DESCRIPTION]]</f>
        <v>Fuel Skid 1000 L</v>
      </c>
      <c r="E20" s="49"/>
      <c r="F20" s="49" t="s">
        <v>416</v>
      </c>
      <c r="G20" s="56">
        <v>46317</v>
      </c>
      <c r="H20" s="59" t="s">
        <v>411</v>
      </c>
      <c r="I20" s="56">
        <v>45952</v>
      </c>
      <c r="J20" s="59">
        <f t="shared" si="0"/>
        <v>46303</v>
      </c>
      <c r="K20" s="80"/>
      <c r="L20" s="80"/>
      <c r="M20" s="49" t="s">
        <v>417</v>
      </c>
      <c r="N20" s="49"/>
      <c r="O20" s="49"/>
      <c r="P20" s="93"/>
    </row>
    <row r="21" spans="1:16" ht="15" hidden="1" customHeight="1">
      <c r="A21" s="90"/>
      <c r="B21" s="50" t="s">
        <v>275</v>
      </c>
      <c r="C21" s="51" t="s">
        <v>276</v>
      </c>
      <c r="D21" s="49" t="str">
        <f>SERTIFIKASI_ALAT[[#This Row],[DESCRIPTION]]</f>
        <v>STAND JACK</v>
      </c>
      <c r="E21" s="49">
        <v>20</v>
      </c>
      <c r="F21" s="49"/>
      <c r="G21" s="56">
        <v>46337</v>
      </c>
      <c r="H21" s="59" t="s">
        <v>411</v>
      </c>
      <c r="I21" s="59">
        <v>45974</v>
      </c>
      <c r="J21" s="59">
        <f t="shared" si="0"/>
        <v>46323</v>
      </c>
      <c r="K21" s="80"/>
      <c r="L21" s="80"/>
      <c r="M21" s="49" t="s">
        <v>418</v>
      </c>
      <c r="N21" s="49"/>
      <c r="O21" s="49"/>
      <c r="P21" s="93"/>
    </row>
    <row r="22" spans="1:16" ht="15" hidden="1" customHeight="1">
      <c r="A22" s="90"/>
      <c r="B22" s="50" t="s">
        <v>277</v>
      </c>
      <c r="C22" s="51" t="s">
        <v>276</v>
      </c>
      <c r="D22" s="49" t="str">
        <f>SERTIFIKASI_ALAT[[#This Row],[DESCRIPTION]]</f>
        <v>STAND JACK</v>
      </c>
      <c r="E22" s="49">
        <v>20</v>
      </c>
      <c r="F22" s="49"/>
      <c r="G22" s="56">
        <v>46337</v>
      </c>
      <c r="H22" s="59" t="s">
        <v>411</v>
      </c>
      <c r="I22" s="59">
        <v>45974</v>
      </c>
      <c r="J22" s="59">
        <f t="shared" si="0"/>
        <v>46323</v>
      </c>
      <c r="K22" s="80"/>
      <c r="L22" s="80"/>
      <c r="M22" s="49" t="s">
        <v>418</v>
      </c>
      <c r="N22" s="49"/>
      <c r="O22" s="49"/>
      <c r="P22" s="93"/>
    </row>
    <row r="23" spans="1:16" ht="15" hidden="1" customHeight="1">
      <c r="A23" s="90"/>
      <c r="B23" s="50" t="s">
        <v>278</v>
      </c>
      <c r="C23" s="51" t="s">
        <v>276</v>
      </c>
      <c r="D23" s="49" t="str">
        <f>SERTIFIKASI_ALAT[[#This Row],[DESCRIPTION]]</f>
        <v>STAND JACK</v>
      </c>
      <c r="E23" s="49">
        <v>20</v>
      </c>
      <c r="F23" s="49"/>
      <c r="G23" s="56">
        <v>46337</v>
      </c>
      <c r="H23" s="59" t="s">
        <v>411</v>
      </c>
      <c r="I23" s="59">
        <v>45974</v>
      </c>
      <c r="J23" s="59">
        <f t="shared" si="0"/>
        <v>46323</v>
      </c>
      <c r="K23" s="80"/>
      <c r="L23" s="80"/>
      <c r="M23" s="49" t="s">
        <v>418</v>
      </c>
      <c r="N23" s="49"/>
      <c r="O23" s="49"/>
      <c r="P23" s="93"/>
    </row>
    <row r="24" spans="1:16" ht="15" hidden="1" customHeight="1">
      <c r="A24" s="90"/>
      <c r="B24" s="50" t="s">
        <v>279</v>
      </c>
      <c r="C24" s="51" t="s">
        <v>276</v>
      </c>
      <c r="D24" s="49" t="str">
        <f>SERTIFIKASI_ALAT[[#This Row],[DESCRIPTION]]</f>
        <v>STAND JACK</v>
      </c>
      <c r="E24" s="49">
        <v>20</v>
      </c>
      <c r="F24" s="49"/>
      <c r="G24" s="56">
        <v>46337</v>
      </c>
      <c r="H24" s="59" t="s">
        <v>411</v>
      </c>
      <c r="I24" s="59">
        <v>45974</v>
      </c>
      <c r="J24" s="59">
        <f t="shared" si="0"/>
        <v>46323</v>
      </c>
      <c r="K24" s="80"/>
      <c r="L24" s="80"/>
      <c r="M24" s="49" t="s">
        <v>418</v>
      </c>
      <c r="N24" s="49"/>
      <c r="O24" s="49"/>
      <c r="P24" s="93"/>
    </row>
    <row r="25" spans="1:16" ht="15" hidden="1" customHeight="1">
      <c r="A25" s="90"/>
      <c r="B25" s="50" t="s">
        <v>280</v>
      </c>
      <c r="C25" s="51" t="s">
        <v>276</v>
      </c>
      <c r="D25" s="49" t="str">
        <f>SERTIFIKASI_ALAT[[#This Row],[DESCRIPTION]]</f>
        <v>STAND JACK</v>
      </c>
      <c r="E25" s="49">
        <v>25</v>
      </c>
      <c r="F25" s="49"/>
      <c r="G25" s="56">
        <v>46337</v>
      </c>
      <c r="H25" s="59" t="s">
        <v>411</v>
      </c>
      <c r="I25" s="59">
        <v>45974</v>
      </c>
      <c r="J25" s="59">
        <f t="shared" si="0"/>
        <v>46323</v>
      </c>
      <c r="K25" s="80"/>
      <c r="L25" s="80"/>
      <c r="M25" s="49" t="s">
        <v>418</v>
      </c>
      <c r="N25" s="49"/>
      <c r="O25" s="49"/>
      <c r="P25" s="93"/>
    </row>
    <row r="26" spans="1:16" hidden="1">
      <c r="A26" s="90"/>
      <c r="B26" s="50" t="s">
        <v>281</v>
      </c>
      <c r="C26" s="51" t="s">
        <v>276</v>
      </c>
      <c r="D26" s="49" t="str">
        <f>SERTIFIKASI_ALAT[[#This Row],[DESCRIPTION]]</f>
        <v>STAND JACK</v>
      </c>
      <c r="E26" s="49">
        <v>25</v>
      </c>
      <c r="F26" s="49"/>
      <c r="G26" s="56">
        <v>46337</v>
      </c>
      <c r="H26" s="59" t="s">
        <v>411</v>
      </c>
      <c r="I26" s="59">
        <v>45974</v>
      </c>
      <c r="J26" s="59">
        <f t="shared" si="0"/>
        <v>46323</v>
      </c>
      <c r="K26" s="80"/>
      <c r="L26" s="80"/>
      <c r="M26" s="49" t="s">
        <v>418</v>
      </c>
      <c r="N26" s="49"/>
      <c r="O26" s="49"/>
      <c r="P26" s="93"/>
    </row>
    <row r="27" spans="1:16" hidden="1">
      <c r="A27" s="90"/>
      <c r="B27" s="50" t="s">
        <v>282</v>
      </c>
      <c r="C27" s="51" t="s">
        <v>276</v>
      </c>
      <c r="D27" s="49" t="str">
        <f>SERTIFIKASI_ALAT[[#This Row],[DESCRIPTION]]</f>
        <v>STAND JACK</v>
      </c>
      <c r="E27" s="49">
        <v>40</v>
      </c>
      <c r="F27" s="49"/>
      <c r="G27" s="56">
        <v>46337</v>
      </c>
      <c r="H27" s="59" t="s">
        <v>411</v>
      </c>
      <c r="I27" s="59">
        <v>45974</v>
      </c>
      <c r="J27" s="59">
        <f t="shared" si="0"/>
        <v>46323</v>
      </c>
      <c r="K27" s="80"/>
      <c r="L27" s="80"/>
      <c r="M27" s="49" t="s">
        <v>418</v>
      </c>
      <c r="N27" s="49"/>
      <c r="O27" s="49"/>
      <c r="P27" s="93"/>
    </row>
    <row r="28" spans="1:16" hidden="1">
      <c r="A28" s="90"/>
      <c r="B28" s="50" t="s">
        <v>283</v>
      </c>
      <c r="C28" s="51" t="s">
        <v>276</v>
      </c>
      <c r="D28" s="49" t="str">
        <f>SERTIFIKASI_ALAT[[#This Row],[DESCRIPTION]]</f>
        <v>STAND JACK</v>
      </c>
      <c r="E28" s="49">
        <v>25</v>
      </c>
      <c r="F28" s="49"/>
      <c r="G28" s="56">
        <v>46337</v>
      </c>
      <c r="H28" s="59" t="s">
        <v>411</v>
      </c>
      <c r="I28" s="59">
        <v>45974</v>
      </c>
      <c r="J28" s="59">
        <f t="shared" si="0"/>
        <v>46323</v>
      </c>
      <c r="K28" s="80"/>
      <c r="L28" s="80"/>
      <c r="M28" s="49" t="s">
        <v>418</v>
      </c>
      <c r="N28" s="49"/>
      <c r="O28" s="49"/>
      <c r="P28" s="93"/>
    </row>
    <row r="29" spans="1:16" hidden="1">
      <c r="A29" s="90"/>
      <c r="B29" s="50" t="s">
        <v>284</v>
      </c>
      <c r="C29" s="51" t="s">
        <v>276</v>
      </c>
      <c r="D29" s="49" t="str">
        <f>SERTIFIKASI_ALAT[[#This Row],[DESCRIPTION]]</f>
        <v>STAND JACK</v>
      </c>
      <c r="E29" s="49">
        <v>25</v>
      </c>
      <c r="F29" s="49"/>
      <c r="G29" s="56">
        <v>46337</v>
      </c>
      <c r="H29" s="59" t="s">
        <v>411</v>
      </c>
      <c r="I29" s="59">
        <v>45974</v>
      </c>
      <c r="J29" s="59">
        <f t="shared" si="0"/>
        <v>46323</v>
      </c>
      <c r="K29" s="80"/>
      <c r="L29" s="80"/>
      <c r="M29" s="49" t="s">
        <v>418</v>
      </c>
      <c r="N29" s="49"/>
      <c r="O29" s="49"/>
      <c r="P29" s="93"/>
    </row>
    <row r="30" spans="1:16" hidden="1">
      <c r="A30" s="90"/>
      <c r="B30" s="50" t="s">
        <v>285</v>
      </c>
      <c r="C30" s="51" t="s">
        <v>276</v>
      </c>
      <c r="D30" s="49" t="str">
        <f>SERTIFIKASI_ALAT[[#This Row],[DESCRIPTION]]</f>
        <v>STAND JACK</v>
      </c>
      <c r="E30" s="49">
        <v>20</v>
      </c>
      <c r="F30" s="49"/>
      <c r="G30" s="56">
        <v>46337</v>
      </c>
      <c r="H30" s="59" t="s">
        <v>411</v>
      </c>
      <c r="I30" s="59">
        <v>45974</v>
      </c>
      <c r="J30" s="59">
        <f t="shared" si="0"/>
        <v>46323</v>
      </c>
      <c r="K30" s="80"/>
      <c r="L30" s="80"/>
      <c r="M30" s="49" t="s">
        <v>418</v>
      </c>
      <c r="N30" s="49"/>
      <c r="O30" s="49"/>
      <c r="P30" s="93"/>
    </row>
    <row r="31" spans="1:16" hidden="1">
      <c r="A31" s="90"/>
      <c r="B31" s="50" t="s">
        <v>286</v>
      </c>
      <c r="C31" s="51" t="s">
        <v>276</v>
      </c>
      <c r="D31" s="49" t="str">
        <f>SERTIFIKASI_ALAT[[#This Row],[DESCRIPTION]]</f>
        <v>STAND JACK</v>
      </c>
      <c r="E31" s="49">
        <v>20</v>
      </c>
      <c r="F31" s="49"/>
      <c r="G31" s="56">
        <v>46337</v>
      </c>
      <c r="H31" s="59" t="s">
        <v>411</v>
      </c>
      <c r="I31" s="59">
        <v>45974</v>
      </c>
      <c r="J31" s="59">
        <f t="shared" si="0"/>
        <v>46323</v>
      </c>
      <c r="K31" s="80"/>
      <c r="L31" s="80"/>
      <c r="M31" s="49" t="s">
        <v>418</v>
      </c>
      <c r="N31" s="49"/>
      <c r="O31" s="49"/>
      <c r="P31" s="93"/>
    </row>
    <row r="32" spans="1:16" hidden="1">
      <c r="A32" s="90"/>
      <c r="B32" s="50" t="s">
        <v>287</v>
      </c>
      <c r="C32" s="51" t="s">
        <v>276</v>
      </c>
      <c r="D32" s="49" t="str">
        <f>SERTIFIKASI_ALAT[[#This Row],[DESCRIPTION]]</f>
        <v>STAND JACK</v>
      </c>
      <c r="E32" s="49">
        <v>20</v>
      </c>
      <c r="F32" s="49"/>
      <c r="G32" s="56">
        <v>46337</v>
      </c>
      <c r="H32" s="59" t="s">
        <v>411</v>
      </c>
      <c r="I32" s="59">
        <v>45974</v>
      </c>
      <c r="J32" s="59">
        <f t="shared" si="0"/>
        <v>46323</v>
      </c>
      <c r="K32" s="80"/>
      <c r="L32" s="80"/>
      <c r="M32" s="49" t="s">
        <v>418</v>
      </c>
      <c r="N32" s="49"/>
      <c r="O32" s="49"/>
      <c r="P32" s="93"/>
    </row>
    <row r="33" spans="1:16" hidden="1">
      <c r="A33" s="90"/>
      <c r="B33" s="50" t="s">
        <v>288</v>
      </c>
      <c r="C33" s="51" t="s">
        <v>276</v>
      </c>
      <c r="D33" s="49" t="str">
        <f>SERTIFIKASI_ALAT[[#This Row],[DESCRIPTION]]</f>
        <v>STAND JACK</v>
      </c>
      <c r="E33" s="49">
        <v>30</v>
      </c>
      <c r="F33" s="49"/>
      <c r="G33" s="56">
        <v>46337</v>
      </c>
      <c r="H33" s="59" t="s">
        <v>411</v>
      </c>
      <c r="I33" s="59">
        <v>45974</v>
      </c>
      <c r="J33" s="59">
        <f t="shared" si="0"/>
        <v>46323</v>
      </c>
      <c r="K33" s="80"/>
      <c r="L33" s="80"/>
      <c r="M33" s="49" t="s">
        <v>418</v>
      </c>
      <c r="N33" s="49"/>
      <c r="O33" s="49"/>
      <c r="P33" s="93"/>
    </row>
    <row r="34" spans="1:16" hidden="1">
      <c r="A34" s="90"/>
      <c r="B34" s="50" t="s">
        <v>289</v>
      </c>
      <c r="C34" s="51" t="s">
        <v>276</v>
      </c>
      <c r="D34" s="49" t="str">
        <f>SERTIFIKASI_ALAT[[#This Row],[DESCRIPTION]]</f>
        <v>STAND JACK</v>
      </c>
      <c r="E34" s="49">
        <v>30</v>
      </c>
      <c r="F34" s="49"/>
      <c r="G34" s="56">
        <v>46337</v>
      </c>
      <c r="H34" s="59" t="s">
        <v>411</v>
      </c>
      <c r="I34" s="59">
        <v>45974</v>
      </c>
      <c r="J34" s="59">
        <f t="shared" si="0"/>
        <v>46323</v>
      </c>
      <c r="K34" s="80"/>
      <c r="L34" s="80"/>
      <c r="M34" s="49" t="s">
        <v>418</v>
      </c>
      <c r="N34" s="49"/>
      <c r="O34" s="49"/>
      <c r="P34" s="93"/>
    </row>
    <row r="35" spans="1:16" hidden="1">
      <c r="A35" s="90"/>
      <c r="B35" s="50" t="s">
        <v>290</v>
      </c>
      <c r="C35" s="51" t="s">
        <v>276</v>
      </c>
      <c r="D35" s="49" t="str">
        <f>SERTIFIKASI_ALAT[[#This Row],[DESCRIPTION]]</f>
        <v>STAND JACK</v>
      </c>
      <c r="E35" s="49">
        <v>50</v>
      </c>
      <c r="F35" s="49"/>
      <c r="G35" s="56">
        <v>46337</v>
      </c>
      <c r="H35" s="59" t="s">
        <v>411</v>
      </c>
      <c r="I35" s="59">
        <v>45974</v>
      </c>
      <c r="J35" s="59">
        <f t="shared" si="0"/>
        <v>46323</v>
      </c>
      <c r="K35" s="80"/>
      <c r="L35" s="80"/>
      <c r="M35" s="49" t="s">
        <v>418</v>
      </c>
      <c r="N35" s="49"/>
      <c r="O35" s="49"/>
      <c r="P35" s="93"/>
    </row>
    <row r="36" spans="1:16" hidden="1">
      <c r="A36" s="90"/>
      <c r="B36" s="50" t="s">
        <v>291</v>
      </c>
      <c r="C36" s="51" t="s">
        <v>276</v>
      </c>
      <c r="D36" s="49" t="str">
        <f>SERTIFIKASI_ALAT[[#This Row],[DESCRIPTION]]</f>
        <v>STAND JACK</v>
      </c>
      <c r="E36" s="49">
        <v>20</v>
      </c>
      <c r="F36" s="49"/>
      <c r="G36" s="56">
        <v>46337</v>
      </c>
      <c r="H36" s="59" t="s">
        <v>411</v>
      </c>
      <c r="I36" s="59">
        <v>45974</v>
      </c>
      <c r="J36" s="59">
        <f t="shared" si="0"/>
        <v>46323</v>
      </c>
      <c r="K36" s="80"/>
      <c r="L36" s="80"/>
      <c r="M36" s="49" t="s">
        <v>418</v>
      </c>
      <c r="N36" s="49"/>
      <c r="O36" s="49"/>
      <c r="P36" s="93"/>
    </row>
    <row r="37" spans="1:16" hidden="1">
      <c r="A37" s="90"/>
      <c r="B37" s="50" t="s">
        <v>292</v>
      </c>
      <c r="C37" s="51" t="s">
        <v>276</v>
      </c>
      <c r="D37" s="49" t="str">
        <f>SERTIFIKASI_ALAT[[#This Row],[DESCRIPTION]]</f>
        <v>STAND JACK</v>
      </c>
      <c r="E37" s="49">
        <v>20</v>
      </c>
      <c r="F37" s="49"/>
      <c r="G37" s="56">
        <v>46337</v>
      </c>
      <c r="H37" s="59" t="s">
        <v>411</v>
      </c>
      <c r="I37" s="59">
        <v>45974</v>
      </c>
      <c r="J37" s="59">
        <f t="shared" si="0"/>
        <v>46323</v>
      </c>
      <c r="K37" s="80"/>
      <c r="L37" s="80"/>
      <c r="M37" s="49" t="s">
        <v>418</v>
      </c>
      <c r="N37" s="49"/>
      <c r="O37" s="49"/>
      <c r="P37" s="93"/>
    </row>
    <row r="38" spans="1:16" hidden="1">
      <c r="A38" s="90"/>
      <c r="B38" s="50" t="s">
        <v>293</v>
      </c>
      <c r="C38" s="51" t="s">
        <v>276</v>
      </c>
      <c r="D38" s="49" t="str">
        <f>SERTIFIKASI_ALAT[[#This Row],[DESCRIPTION]]</f>
        <v>STAND JACK</v>
      </c>
      <c r="E38" s="49">
        <v>20</v>
      </c>
      <c r="F38" s="49"/>
      <c r="G38" s="56">
        <v>46337</v>
      </c>
      <c r="H38" s="59" t="s">
        <v>411</v>
      </c>
      <c r="I38" s="59">
        <v>45974</v>
      </c>
      <c r="J38" s="59">
        <f t="shared" si="0"/>
        <v>46323</v>
      </c>
      <c r="K38" s="80"/>
      <c r="L38" s="80"/>
      <c r="M38" s="49" t="s">
        <v>418</v>
      </c>
      <c r="N38" s="49"/>
      <c r="O38" s="49"/>
      <c r="P38" s="93"/>
    </row>
    <row r="39" spans="1:16" hidden="1">
      <c r="A39" s="90"/>
      <c r="B39" s="50" t="s">
        <v>294</v>
      </c>
      <c r="C39" s="51" t="s">
        <v>276</v>
      </c>
      <c r="D39" s="49" t="str">
        <f>SERTIFIKASI_ALAT[[#This Row],[DESCRIPTION]]</f>
        <v>STAND JACK</v>
      </c>
      <c r="E39" s="49">
        <v>60</v>
      </c>
      <c r="F39" s="49"/>
      <c r="G39" s="56">
        <v>46337</v>
      </c>
      <c r="H39" s="59" t="s">
        <v>411</v>
      </c>
      <c r="I39" s="59">
        <v>45974</v>
      </c>
      <c r="J39" s="59">
        <f t="shared" ref="J39:J70" si="1">G39-14</f>
        <v>46323</v>
      </c>
      <c r="K39" s="80"/>
      <c r="L39" s="80"/>
      <c r="M39" s="49" t="s">
        <v>418</v>
      </c>
      <c r="N39" s="49"/>
      <c r="O39" s="49"/>
      <c r="P39" s="93"/>
    </row>
    <row r="40" spans="1:16" hidden="1">
      <c r="A40" s="90"/>
      <c r="B40" s="50" t="s">
        <v>295</v>
      </c>
      <c r="C40" s="51" t="s">
        <v>276</v>
      </c>
      <c r="D40" s="49" t="str">
        <f>SERTIFIKASI_ALAT[[#This Row],[DESCRIPTION]]</f>
        <v>STAND JACK</v>
      </c>
      <c r="E40" s="49">
        <v>20</v>
      </c>
      <c r="F40" s="49"/>
      <c r="G40" s="56">
        <v>46337</v>
      </c>
      <c r="H40" s="59" t="s">
        <v>411</v>
      </c>
      <c r="I40" s="59">
        <v>45974</v>
      </c>
      <c r="J40" s="59">
        <f t="shared" si="1"/>
        <v>46323</v>
      </c>
      <c r="K40" s="80"/>
      <c r="L40" s="80"/>
      <c r="M40" s="49" t="s">
        <v>418</v>
      </c>
      <c r="N40" s="49"/>
      <c r="O40" s="49"/>
      <c r="P40" s="93"/>
    </row>
    <row r="41" spans="1:16" hidden="1">
      <c r="A41" s="90"/>
      <c r="B41" s="50" t="s">
        <v>296</v>
      </c>
      <c r="C41" s="51" t="s">
        <v>276</v>
      </c>
      <c r="D41" s="49" t="str">
        <f>SERTIFIKASI_ALAT[[#This Row],[DESCRIPTION]]</f>
        <v>STAND JACK</v>
      </c>
      <c r="E41" s="49">
        <v>60</v>
      </c>
      <c r="F41" s="49"/>
      <c r="G41" s="56">
        <v>46339</v>
      </c>
      <c r="H41" s="59" t="s">
        <v>411</v>
      </c>
      <c r="I41" s="59">
        <v>45974</v>
      </c>
      <c r="J41" s="59">
        <f t="shared" si="1"/>
        <v>46325</v>
      </c>
      <c r="K41" s="59"/>
      <c r="L41" s="59"/>
      <c r="M41" s="49"/>
      <c r="N41" s="49"/>
      <c r="O41" s="49"/>
      <c r="P41" s="95" t="s">
        <v>419</v>
      </c>
    </row>
    <row r="42" spans="1:16" hidden="1">
      <c r="A42" s="90"/>
      <c r="B42" s="50" t="s">
        <v>19</v>
      </c>
      <c r="C42" s="51" t="s">
        <v>420</v>
      </c>
      <c r="D42" s="49" t="s">
        <v>20</v>
      </c>
      <c r="E42" s="49"/>
      <c r="F42" s="49"/>
      <c r="G42" s="56">
        <v>46339</v>
      </c>
      <c r="H42" s="59" t="s">
        <v>411</v>
      </c>
      <c r="I42" s="59">
        <v>45974</v>
      </c>
      <c r="J42" s="59">
        <f t="shared" si="1"/>
        <v>46325</v>
      </c>
      <c r="K42" s="79">
        <v>1010287454</v>
      </c>
      <c r="L42" s="79">
        <v>4010367504</v>
      </c>
      <c r="M42" s="49" t="s">
        <v>21</v>
      </c>
      <c r="N42" s="49" t="s">
        <v>421</v>
      </c>
      <c r="O42" s="49"/>
      <c r="P42" s="93"/>
    </row>
    <row r="43" spans="1:16" hidden="1">
      <c r="A43" s="90"/>
      <c r="B43" s="50" t="s">
        <v>297</v>
      </c>
      <c r="C43" s="51" t="s">
        <v>276</v>
      </c>
      <c r="D43" s="49" t="str">
        <f>SERTIFIKASI_ALAT[[#This Row],[DESCRIPTION]]</f>
        <v>STAND JACK</v>
      </c>
      <c r="E43" s="49">
        <v>20</v>
      </c>
      <c r="F43" s="49"/>
      <c r="G43" s="56">
        <v>46339</v>
      </c>
      <c r="H43" s="59" t="s">
        <v>411</v>
      </c>
      <c r="I43" s="59">
        <v>45974</v>
      </c>
      <c r="J43" s="59">
        <f t="shared" si="1"/>
        <v>46325</v>
      </c>
      <c r="K43" s="79">
        <v>1010280232</v>
      </c>
      <c r="L43" s="79">
        <v>4010359799</v>
      </c>
      <c r="M43" s="49" t="s">
        <v>418</v>
      </c>
      <c r="N43" s="49"/>
      <c r="O43" s="49"/>
      <c r="P43" s="95" t="s">
        <v>422</v>
      </c>
    </row>
    <row r="44" spans="1:16" hidden="1">
      <c r="A44" s="90"/>
      <c r="B44" s="50" t="s">
        <v>298</v>
      </c>
      <c r="C44" s="51" t="s">
        <v>276</v>
      </c>
      <c r="D44" s="49" t="str">
        <f>SERTIFIKASI_ALAT[[#This Row],[DESCRIPTION]]</f>
        <v>STAND JACK</v>
      </c>
      <c r="E44" s="49">
        <v>50</v>
      </c>
      <c r="F44" s="49"/>
      <c r="G44" s="56">
        <v>46339</v>
      </c>
      <c r="H44" s="59" t="s">
        <v>411</v>
      </c>
      <c r="I44" s="59">
        <v>45974</v>
      </c>
      <c r="J44" s="59">
        <f t="shared" si="1"/>
        <v>46325</v>
      </c>
      <c r="K44" s="79">
        <v>1010280232</v>
      </c>
      <c r="L44" s="79">
        <v>4010359799</v>
      </c>
      <c r="M44" s="49" t="s">
        <v>418</v>
      </c>
      <c r="N44" s="49" t="s">
        <v>423</v>
      </c>
      <c r="O44" s="49"/>
      <c r="P44" s="95" t="s">
        <v>424</v>
      </c>
    </row>
    <row r="45" spans="1:16" hidden="1">
      <c r="A45" s="90"/>
      <c r="B45" s="50" t="s">
        <v>116</v>
      </c>
      <c r="C45" s="108" t="s">
        <v>425</v>
      </c>
      <c r="D45" s="66" t="s">
        <v>117</v>
      </c>
      <c r="E45" s="49">
        <v>2.5</v>
      </c>
      <c r="F45" s="109"/>
      <c r="G45" s="110">
        <v>46344</v>
      </c>
      <c r="H45" s="110" t="s">
        <v>411</v>
      </c>
      <c r="I45" s="110">
        <v>45979</v>
      </c>
      <c r="J45" s="59">
        <f t="shared" si="1"/>
        <v>46330</v>
      </c>
      <c r="K45" s="111">
        <v>1010281132</v>
      </c>
      <c r="L45" s="111">
        <v>4010359820</v>
      </c>
      <c r="M45" s="49" t="s">
        <v>21</v>
      </c>
      <c r="N45" s="49" t="s">
        <v>426</v>
      </c>
      <c r="O45" s="49" t="s">
        <v>427</v>
      </c>
      <c r="P45" s="93" t="s">
        <v>428</v>
      </c>
    </row>
    <row r="46" spans="1:16" hidden="1">
      <c r="A46" s="90"/>
      <c r="B46" s="50" t="s">
        <v>299</v>
      </c>
      <c r="C46" s="51" t="s">
        <v>276</v>
      </c>
      <c r="D46" s="49" t="str">
        <f>SERTIFIKASI_ALAT[[#This Row],[DESCRIPTION]]</f>
        <v>STAND JACK</v>
      </c>
      <c r="E46" s="49">
        <v>20</v>
      </c>
      <c r="F46" s="49"/>
      <c r="G46" s="56">
        <v>46351</v>
      </c>
      <c r="H46" s="59" t="s">
        <v>411</v>
      </c>
      <c r="I46" s="59">
        <v>45986</v>
      </c>
      <c r="J46" s="59">
        <f t="shared" si="1"/>
        <v>46337</v>
      </c>
      <c r="K46" s="59"/>
      <c r="L46" s="59"/>
      <c r="M46" s="49"/>
      <c r="N46" s="49"/>
      <c r="O46" s="49"/>
      <c r="P46" s="95" t="s">
        <v>429</v>
      </c>
    </row>
    <row r="47" spans="1:16" hidden="1">
      <c r="A47" s="90"/>
      <c r="B47" s="50" t="s">
        <v>300</v>
      </c>
      <c r="C47" s="51" t="s">
        <v>276</v>
      </c>
      <c r="D47" s="49" t="str">
        <f>SERTIFIKASI_ALAT[[#This Row],[DESCRIPTION]]</f>
        <v>STAND JACK</v>
      </c>
      <c r="E47" s="49">
        <v>20</v>
      </c>
      <c r="F47" s="49"/>
      <c r="G47" s="56">
        <v>46351</v>
      </c>
      <c r="H47" s="59" t="s">
        <v>411</v>
      </c>
      <c r="I47" s="59">
        <v>45986</v>
      </c>
      <c r="J47" s="59">
        <f t="shared" si="1"/>
        <v>46337</v>
      </c>
      <c r="K47" s="59"/>
      <c r="L47" s="59"/>
      <c r="M47" s="49"/>
      <c r="N47" s="49"/>
      <c r="O47" s="49"/>
      <c r="P47" s="95" t="s">
        <v>430</v>
      </c>
    </row>
    <row r="48" spans="1:16" hidden="1">
      <c r="A48" s="90"/>
      <c r="B48" s="50" t="s">
        <v>301</v>
      </c>
      <c r="C48" s="51" t="s">
        <v>276</v>
      </c>
      <c r="D48" s="49" t="str">
        <f>SERTIFIKASI_ALAT[[#This Row],[DESCRIPTION]]</f>
        <v>STAND JACK</v>
      </c>
      <c r="E48" s="49">
        <v>20</v>
      </c>
      <c r="F48" s="49"/>
      <c r="G48" s="56">
        <v>46351</v>
      </c>
      <c r="H48" s="59" t="s">
        <v>411</v>
      </c>
      <c r="I48" s="59">
        <v>45986</v>
      </c>
      <c r="J48" s="59">
        <f t="shared" si="1"/>
        <v>46337</v>
      </c>
      <c r="K48" s="59"/>
      <c r="L48" s="59"/>
      <c r="M48" s="49"/>
      <c r="N48" s="49"/>
      <c r="O48" s="49"/>
      <c r="P48" s="95" t="s">
        <v>431</v>
      </c>
    </row>
    <row r="49" spans="1:16" hidden="1">
      <c r="A49" s="90"/>
      <c r="B49" s="50" t="s">
        <v>302</v>
      </c>
      <c r="C49" s="51" t="s">
        <v>276</v>
      </c>
      <c r="D49" s="49" t="str">
        <f>SERTIFIKASI_ALAT[[#This Row],[DESCRIPTION]]</f>
        <v>STAND JACK</v>
      </c>
      <c r="E49" s="49">
        <v>20</v>
      </c>
      <c r="F49" s="49"/>
      <c r="G49" s="56">
        <v>46351</v>
      </c>
      <c r="H49" s="59" t="s">
        <v>411</v>
      </c>
      <c r="I49" s="59">
        <v>45986</v>
      </c>
      <c r="J49" s="59">
        <f t="shared" si="1"/>
        <v>46337</v>
      </c>
      <c r="K49" s="59"/>
      <c r="L49" s="59"/>
      <c r="M49" s="49"/>
      <c r="N49" s="49"/>
      <c r="O49" s="49"/>
      <c r="P49" s="95" t="s">
        <v>432</v>
      </c>
    </row>
    <row r="50" spans="1:16" hidden="1">
      <c r="A50" s="90"/>
      <c r="B50" s="50" t="s">
        <v>303</v>
      </c>
      <c r="C50" s="51" t="s">
        <v>276</v>
      </c>
      <c r="D50" s="49" t="str">
        <f>SERTIFIKASI_ALAT[[#This Row],[DESCRIPTION]]</f>
        <v>STAND JACK</v>
      </c>
      <c r="E50" s="49">
        <v>20</v>
      </c>
      <c r="F50" s="49"/>
      <c r="G50" s="56">
        <v>46351</v>
      </c>
      <c r="H50" s="59" t="s">
        <v>411</v>
      </c>
      <c r="I50" s="59">
        <v>45986</v>
      </c>
      <c r="J50" s="59">
        <f t="shared" si="1"/>
        <v>46337</v>
      </c>
      <c r="K50" s="59"/>
      <c r="L50" s="59"/>
      <c r="M50" s="49"/>
      <c r="N50" s="49"/>
      <c r="O50" s="49"/>
      <c r="P50" s="95" t="s">
        <v>433</v>
      </c>
    </row>
    <row r="51" spans="1:16" hidden="1">
      <c r="A51" s="90"/>
      <c r="B51" s="50" t="s">
        <v>296</v>
      </c>
      <c r="C51" s="51" t="s">
        <v>276</v>
      </c>
      <c r="D51" s="49" t="str">
        <f>SERTIFIKASI_ALAT[[#This Row],[DESCRIPTION]]</f>
        <v>STAND JACK</v>
      </c>
      <c r="E51" s="49">
        <v>20</v>
      </c>
      <c r="F51" s="49"/>
      <c r="G51" s="56">
        <v>46351</v>
      </c>
      <c r="H51" s="59" t="s">
        <v>411</v>
      </c>
      <c r="I51" s="59">
        <v>45986</v>
      </c>
      <c r="J51" s="59">
        <f t="shared" si="1"/>
        <v>46337</v>
      </c>
      <c r="K51" s="59"/>
      <c r="L51" s="59"/>
      <c r="M51" s="49"/>
      <c r="N51" s="49"/>
      <c r="O51" s="49"/>
      <c r="P51" s="95" t="s">
        <v>419</v>
      </c>
    </row>
    <row r="52" spans="1:16" hidden="1">
      <c r="A52" s="90"/>
      <c r="B52" s="50" t="s">
        <v>304</v>
      </c>
      <c r="C52" s="51" t="s">
        <v>276</v>
      </c>
      <c r="D52" s="49" t="str">
        <f>SERTIFIKASI_ALAT[[#This Row],[DESCRIPTION]]</f>
        <v>STAND JACK</v>
      </c>
      <c r="E52" s="49">
        <v>50</v>
      </c>
      <c r="F52" s="49"/>
      <c r="G52" s="56">
        <v>46351</v>
      </c>
      <c r="H52" s="59" t="s">
        <v>411</v>
      </c>
      <c r="I52" s="59">
        <v>45986</v>
      </c>
      <c r="J52" s="59">
        <f t="shared" si="1"/>
        <v>46337</v>
      </c>
      <c r="K52" s="79">
        <v>1010280232</v>
      </c>
      <c r="L52" s="79">
        <v>4010359799</v>
      </c>
      <c r="M52" s="49" t="s">
        <v>418</v>
      </c>
      <c r="N52" s="49"/>
      <c r="O52" s="49"/>
      <c r="P52" s="95" t="s">
        <v>434</v>
      </c>
    </row>
    <row r="53" spans="1:16" hidden="1">
      <c r="A53" s="90"/>
      <c r="B53" s="50" t="s">
        <v>343</v>
      </c>
      <c r="C53" s="51" t="s">
        <v>344</v>
      </c>
      <c r="D53" s="49" t="str">
        <f>SERTIFIKASI_ALAT[[#This Row],[DESCRIPTION]]</f>
        <v>STAND TRANSMISSION</v>
      </c>
      <c r="E53" s="66">
        <v>2.5</v>
      </c>
      <c r="F53" s="49"/>
      <c r="G53" s="56">
        <v>46359</v>
      </c>
      <c r="H53" s="59" t="s">
        <v>411</v>
      </c>
      <c r="I53" s="59">
        <v>45988</v>
      </c>
      <c r="J53" s="59">
        <f t="shared" si="1"/>
        <v>46345</v>
      </c>
      <c r="K53" s="59"/>
      <c r="L53" s="59"/>
      <c r="M53" s="49" t="s">
        <v>405</v>
      </c>
      <c r="N53" s="66"/>
      <c r="O53" s="66"/>
      <c r="P53" s="95" t="s">
        <v>435</v>
      </c>
    </row>
    <row r="54" spans="1:16" hidden="1">
      <c r="A54" s="90"/>
      <c r="B54" s="50" t="s">
        <v>345</v>
      </c>
      <c r="C54" s="51" t="s">
        <v>344</v>
      </c>
      <c r="D54" s="49" t="str">
        <f>SERTIFIKASI_ALAT[[#This Row],[DESCRIPTION]]</f>
        <v>STAND TRANSMISSION</v>
      </c>
      <c r="E54" s="66">
        <v>2.5</v>
      </c>
      <c r="F54" s="49"/>
      <c r="G54" s="56">
        <v>46359</v>
      </c>
      <c r="H54" s="59" t="s">
        <v>411</v>
      </c>
      <c r="I54" s="59">
        <v>45988</v>
      </c>
      <c r="J54" s="59">
        <f t="shared" si="1"/>
        <v>46345</v>
      </c>
      <c r="K54" s="59"/>
      <c r="L54" s="59"/>
      <c r="M54" s="49" t="s">
        <v>405</v>
      </c>
      <c r="N54" s="66"/>
      <c r="O54" s="66"/>
      <c r="P54" s="95" t="s">
        <v>436</v>
      </c>
    </row>
    <row r="55" spans="1:16" hidden="1">
      <c r="A55" s="90"/>
      <c r="B55" s="50" t="s">
        <v>346</v>
      </c>
      <c r="C55" s="51" t="s">
        <v>344</v>
      </c>
      <c r="D55" s="49" t="str">
        <f>SERTIFIKASI_ALAT[[#This Row],[DESCRIPTION]]</f>
        <v>STAND TRANSMISSION</v>
      </c>
      <c r="E55" s="66">
        <v>2.5</v>
      </c>
      <c r="F55" s="49"/>
      <c r="G55" s="56">
        <v>46359</v>
      </c>
      <c r="H55" s="59" t="s">
        <v>411</v>
      </c>
      <c r="I55" s="59">
        <v>45988</v>
      </c>
      <c r="J55" s="59">
        <f t="shared" si="1"/>
        <v>46345</v>
      </c>
      <c r="K55" s="59"/>
      <c r="L55" s="59"/>
      <c r="M55" s="49" t="s">
        <v>405</v>
      </c>
      <c r="N55" s="66"/>
      <c r="O55" s="66"/>
      <c r="P55" s="95" t="s">
        <v>437</v>
      </c>
    </row>
    <row r="56" spans="1:16" hidden="1">
      <c r="A56" s="90"/>
      <c r="B56" s="50" t="s">
        <v>347</v>
      </c>
      <c r="C56" s="51" t="s">
        <v>344</v>
      </c>
      <c r="D56" s="49" t="str">
        <f>SERTIFIKASI_ALAT[[#This Row],[DESCRIPTION]]</f>
        <v>STAND TRANSMISSION</v>
      </c>
      <c r="E56" s="66">
        <v>2.5</v>
      </c>
      <c r="F56" s="49"/>
      <c r="G56" s="56">
        <v>46359</v>
      </c>
      <c r="H56" s="59" t="s">
        <v>411</v>
      </c>
      <c r="I56" s="59">
        <v>45988</v>
      </c>
      <c r="J56" s="59">
        <f t="shared" si="1"/>
        <v>46345</v>
      </c>
      <c r="K56" s="59"/>
      <c r="L56" s="59"/>
      <c r="M56" s="49" t="s">
        <v>405</v>
      </c>
      <c r="N56" s="66"/>
      <c r="O56" s="49"/>
      <c r="P56" s="95" t="s">
        <v>438</v>
      </c>
    </row>
    <row r="57" spans="1:16" hidden="1">
      <c r="A57" s="90"/>
      <c r="B57" s="50" t="s">
        <v>348</v>
      </c>
      <c r="C57" s="51" t="s">
        <v>344</v>
      </c>
      <c r="D57" s="49" t="str">
        <f>SERTIFIKASI_ALAT[[#This Row],[DESCRIPTION]]</f>
        <v>STAND TRANSMISSION</v>
      </c>
      <c r="E57" s="66">
        <v>2.5</v>
      </c>
      <c r="F57" s="49"/>
      <c r="G57" s="56">
        <v>46359</v>
      </c>
      <c r="H57" s="59" t="s">
        <v>411</v>
      </c>
      <c r="I57" s="59">
        <v>45988</v>
      </c>
      <c r="J57" s="59">
        <f t="shared" si="1"/>
        <v>46345</v>
      </c>
      <c r="K57" s="59"/>
      <c r="L57" s="59"/>
      <c r="M57" s="49" t="s">
        <v>405</v>
      </c>
      <c r="N57" s="66"/>
      <c r="O57" s="49"/>
      <c r="P57" s="95" t="s">
        <v>439</v>
      </c>
    </row>
    <row r="58" spans="1:16" hidden="1">
      <c r="A58" s="90"/>
      <c r="B58" s="50" t="s">
        <v>349</v>
      </c>
      <c r="C58" s="51" t="s">
        <v>344</v>
      </c>
      <c r="D58" s="49" t="str">
        <f>SERTIFIKASI_ALAT[[#This Row],[DESCRIPTION]]</f>
        <v>STAND TRANSMISSION</v>
      </c>
      <c r="E58" s="66">
        <v>2.5</v>
      </c>
      <c r="F58" s="49"/>
      <c r="G58" s="56">
        <v>46359</v>
      </c>
      <c r="H58" s="59" t="s">
        <v>411</v>
      </c>
      <c r="I58" s="59">
        <v>45988</v>
      </c>
      <c r="J58" s="59">
        <f t="shared" si="1"/>
        <v>46345</v>
      </c>
      <c r="K58" s="59"/>
      <c r="L58" s="59"/>
      <c r="M58" s="49" t="s">
        <v>405</v>
      </c>
      <c r="N58" s="66"/>
      <c r="O58" s="49"/>
      <c r="P58" s="95" t="s">
        <v>440</v>
      </c>
    </row>
    <row r="59" spans="1:16" hidden="1">
      <c r="A59" s="90"/>
      <c r="B59" s="50" t="s">
        <v>350</v>
      </c>
      <c r="C59" s="51" t="s">
        <v>344</v>
      </c>
      <c r="D59" s="49" t="str">
        <f>SERTIFIKASI_ALAT[[#This Row],[DESCRIPTION]]</f>
        <v>STAND TRANSMISSION</v>
      </c>
      <c r="E59" s="66">
        <v>2.5</v>
      </c>
      <c r="F59" s="49"/>
      <c r="G59" s="56">
        <v>46359</v>
      </c>
      <c r="H59" s="59" t="s">
        <v>411</v>
      </c>
      <c r="I59" s="59">
        <v>45988</v>
      </c>
      <c r="J59" s="59">
        <f t="shared" si="1"/>
        <v>46345</v>
      </c>
      <c r="K59" s="59"/>
      <c r="L59" s="59"/>
      <c r="M59" s="49" t="s">
        <v>405</v>
      </c>
      <c r="N59" s="66"/>
      <c r="O59" s="49"/>
      <c r="P59" s="95" t="s">
        <v>441</v>
      </c>
    </row>
    <row r="60" spans="1:16" hidden="1">
      <c r="A60" s="90"/>
      <c r="B60" s="50" t="s">
        <v>351</v>
      </c>
      <c r="C60" s="51" t="s">
        <v>344</v>
      </c>
      <c r="D60" s="49" t="str">
        <f>SERTIFIKASI_ALAT[[#This Row],[DESCRIPTION]]</f>
        <v>STAND TRANSMISSION</v>
      </c>
      <c r="E60" s="66">
        <v>2.5</v>
      </c>
      <c r="F60" s="49"/>
      <c r="G60" s="56">
        <v>46359</v>
      </c>
      <c r="H60" s="59" t="s">
        <v>411</v>
      </c>
      <c r="I60" s="59">
        <v>45988</v>
      </c>
      <c r="J60" s="59">
        <f t="shared" si="1"/>
        <v>46345</v>
      </c>
      <c r="K60" s="59"/>
      <c r="L60" s="59"/>
      <c r="M60" s="49" t="s">
        <v>405</v>
      </c>
      <c r="N60" s="66"/>
      <c r="O60" s="49"/>
      <c r="P60" s="95" t="s">
        <v>442</v>
      </c>
    </row>
    <row r="61" spans="1:16" hidden="1">
      <c r="A61" s="90"/>
      <c r="B61" s="50" t="s">
        <v>352</v>
      </c>
      <c r="C61" s="51" t="s">
        <v>344</v>
      </c>
      <c r="D61" s="49" t="str">
        <f>SERTIFIKASI_ALAT[[#This Row],[DESCRIPTION]]</f>
        <v>STAND TRANSMISSION</v>
      </c>
      <c r="E61" s="66">
        <v>2.5</v>
      </c>
      <c r="F61" s="49"/>
      <c r="G61" s="56">
        <v>46359</v>
      </c>
      <c r="H61" s="59" t="s">
        <v>411</v>
      </c>
      <c r="I61" s="59">
        <v>45988</v>
      </c>
      <c r="J61" s="59">
        <f t="shared" si="1"/>
        <v>46345</v>
      </c>
      <c r="K61" s="59"/>
      <c r="L61" s="59"/>
      <c r="M61" s="49" t="s">
        <v>405</v>
      </c>
      <c r="N61" s="66"/>
      <c r="O61" s="49"/>
      <c r="P61" s="95" t="s">
        <v>443</v>
      </c>
    </row>
    <row r="62" spans="1:16" hidden="1">
      <c r="A62" s="90"/>
      <c r="B62" s="54" t="s">
        <v>363</v>
      </c>
      <c r="C62" s="51" t="s">
        <v>364</v>
      </c>
      <c r="D62" s="49" t="str">
        <f>SERTIFIKASI_ALAT[[#This Row],[DESCRIPTION]]</f>
        <v>TABLE WORK</v>
      </c>
      <c r="E62" s="66">
        <v>0</v>
      </c>
      <c r="F62" s="49"/>
      <c r="G62" s="56">
        <v>46359</v>
      </c>
      <c r="H62" s="59" t="s">
        <v>411</v>
      </c>
      <c r="I62" s="59">
        <v>45988</v>
      </c>
      <c r="J62" s="59">
        <f t="shared" si="1"/>
        <v>46345</v>
      </c>
      <c r="K62" s="59"/>
      <c r="L62" s="59"/>
      <c r="M62" s="49" t="s">
        <v>405</v>
      </c>
      <c r="N62" s="66"/>
      <c r="O62" s="49"/>
      <c r="P62" s="95"/>
    </row>
    <row r="63" spans="1:16" hidden="1">
      <c r="A63" s="90"/>
      <c r="B63" s="50" t="s">
        <v>365</v>
      </c>
      <c r="C63" s="51" t="s">
        <v>364</v>
      </c>
      <c r="D63" s="49" t="str">
        <f>SERTIFIKASI_ALAT[[#This Row],[DESCRIPTION]]</f>
        <v>TABLE WORK</v>
      </c>
      <c r="E63" s="49">
        <v>0</v>
      </c>
      <c r="F63" s="49"/>
      <c r="G63" s="56">
        <v>46359</v>
      </c>
      <c r="H63" s="59" t="s">
        <v>411</v>
      </c>
      <c r="I63" s="59">
        <v>45988</v>
      </c>
      <c r="J63" s="59">
        <f t="shared" si="1"/>
        <v>46345</v>
      </c>
      <c r="K63" s="59"/>
      <c r="L63" s="59"/>
      <c r="M63" s="49" t="s">
        <v>405</v>
      </c>
      <c r="N63" s="49"/>
      <c r="O63" s="49"/>
      <c r="P63" s="95" t="s">
        <v>444</v>
      </c>
    </row>
    <row r="64" spans="1:16" hidden="1">
      <c r="A64" s="90"/>
      <c r="B64" s="50" t="s">
        <v>366</v>
      </c>
      <c r="C64" s="51" t="s">
        <v>364</v>
      </c>
      <c r="D64" s="49" t="str">
        <f>SERTIFIKASI_ALAT[[#This Row],[DESCRIPTION]]</f>
        <v>TABLE WORK</v>
      </c>
      <c r="E64" s="49">
        <v>0.5</v>
      </c>
      <c r="F64" s="49"/>
      <c r="G64" s="56">
        <v>46359</v>
      </c>
      <c r="H64" s="59" t="s">
        <v>411</v>
      </c>
      <c r="I64" s="59">
        <v>45988</v>
      </c>
      <c r="J64" s="59">
        <f t="shared" si="1"/>
        <v>46345</v>
      </c>
      <c r="K64" s="59"/>
      <c r="L64" s="59"/>
      <c r="M64" s="49" t="s">
        <v>405</v>
      </c>
      <c r="N64" s="49"/>
      <c r="O64" s="49"/>
      <c r="P64" s="95" t="s">
        <v>445</v>
      </c>
    </row>
    <row r="65" spans="1:16" hidden="1">
      <c r="A65" s="90"/>
      <c r="B65" s="50" t="s">
        <v>372</v>
      </c>
      <c r="C65" s="51" t="s">
        <v>371</v>
      </c>
      <c r="D65" s="49" t="str">
        <f>SERTIFIKASI_ALAT[[#This Row],[DESCRIPTION]]</f>
        <v>TOOL JACK &amp; ROLL OVER STAND ENGINE</v>
      </c>
      <c r="E65" s="49">
        <v>9.0719999999999992</v>
      </c>
      <c r="F65" s="49"/>
      <c r="G65" s="56">
        <v>46359</v>
      </c>
      <c r="H65" s="59" t="s">
        <v>411</v>
      </c>
      <c r="I65" s="59">
        <v>45988</v>
      </c>
      <c r="J65" s="59">
        <f t="shared" si="1"/>
        <v>46345</v>
      </c>
      <c r="K65" s="59"/>
      <c r="L65" s="59"/>
      <c r="M65" s="49" t="s">
        <v>414</v>
      </c>
      <c r="N65" s="49"/>
      <c r="O65" s="49"/>
      <c r="P65" s="95" t="s">
        <v>446</v>
      </c>
    </row>
    <row r="66" spans="1:16" hidden="1">
      <c r="A66" s="90"/>
      <c r="B66" s="50" t="s">
        <v>197</v>
      </c>
      <c r="C66" s="65" t="s">
        <v>198</v>
      </c>
      <c r="D66" s="49" t="str">
        <f>SERTIFIKASI_ALAT[[#This Row],[DESCRIPTION]]</f>
        <v>RACK REPAIR HEAVY DUTY</v>
      </c>
      <c r="E66" s="49">
        <v>2.5</v>
      </c>
      <c r="F66" s="66"/>
      <c r="G66" s="61">
        <v>46360</v>
      </c>
      <c r="H66" s="59" t="s">
        <v>411</v>
      </c>
      <c r="I66" s="59">
        <v>45988</v>
      </c>
      <c r="J66" s="59">
        <f t="shared" si="1"/>
        <v>46346</v>
      </c>
      <c r="K66" s="59"/>
      <c r="L66" s="59"/>
      <c r="M66" s="49" t="s">
        <v>199</v>
      </c>
      <c r="N66" s="49" t="s">
        <v>447</v>
      </c>
      <c r="O66" s="49"/>
      <c r="P66" s="93"/>
    </row>
    <row r="67" spans="1:16" hidden="1">
      <c r="A67" s="90"/>
      <c r="B67" s="50" t="s">
        <v>200</v>
      </c>
      <c r="C67" s="65" t="s">
        <v>198</v>
      </c>
      <c r="D67" s="49" t="str">
        <f>SERTIFIKASI_ALAT[[#This Row],[DESCRIPTION]]</f>
        <v>RACK REPAIR HEAVY DUTY</v>
      </c>
      <c r="E67" s="49">
        <v>2.5</v>
      </c>
      <c r="F67" s="66"/>
      <c r="G67" s="61">
        <v>46360</v>
      </c>
      <c r="H67" s="59" t="s">
        <v>411</v>
      </c>
      <c r="I67" s="59">
        <v>45988</v>
      </c>
      <c r="J67" s="59">
        <f t="shared" si="1"/>
        <v>46346</v>
      </c>
      <c r="K67" s="59"/>
      <c r="L67" s="59"/>
      <c r="M67" s="49" t="s">
        <v>199</v>
      </c>
      <c r="N67" s="49" t="s">
        <v>447</v>
      </c>
      <c r="O67" s="49"/>
      <c r="P67" s="93"/>
    </row>
    <row r="68" spans="1:16" hidden="1">
      <c r="A68" s="90"/>
      <c r="B68" s="50" t="s">
        <v>201</v>
      </c>
      <c r="C68" s="65" t="s">
        <v>198</v>
      </c>
      <c r="D68" s="49" t="str">
        <f>SERTIFIKASI_ALAT[[#This Row],[DESCRIPTION]]</f>
        <v>RACK REPAIR HEAVY DUTY</v>
      </c>
      <c r="E68" s="49">
        <v>2.5</v>
      </c>
      <c r="F68" s="66"/>
      <c r="G68" s="61">
        <v>46360</v>
      </c>
      <c r="H68" s="59" t="s">
        <v>411</v>
      </c>
      <c r="I68" s="59">
        <v>45988</v>
      </c>
      <c r="J68" s="59">
        <f t="shared" si="1"/>
        <v>46346</v>
      </c>
      <c r="K68" s="59"/>
      <c r="L68" s="59"/>
      <c r="M68" s="49" t="s">
        <v>199</v>
      </c>
      <c r="N68" s="49" t="s">
        <v>447</v>
      </c>
      <c r="O68" s="49"/>
      <c r="P68" s="93"/>
    </row>
    <row r="69" spans="1:16" hidden="1">
      <c r="A69" s="90"/>
      <c r="B69" s="50" t="s">
        <v>202</v>
      </c>
      <c r="C69" s="65" t="s">
        <v>198</v>
      </c>
      <c r="D69" s="49" t="str">
        <f>SERTIFIKASI_ALAT[[#This Row],[DESCRIPTION]]</f>
        <v>RACK REPAIR HEAVY DUTY</v>
      </c>
      <c r="E69" s="49">
        <v>2.5</v>
      </c>
      <c r="F69" s="66"/>
      <c r="G69" s="61">
        <v>46360</v>
      </c>
      <c r="H69" s="59" t="s">
        <v>411</v>
      </c>
      <c r="I69" s="59">
        <v>45988</v>
      </c>
      <c r="J69" s="59">
        <f t="shared" si="1"/>
        <v>46346</v>
      </c>
      <c r="K69" s="59"/>
      <c r="L69" s="59"/>
      <c r="M69" s="49" t="s">
        <v>199</v>
      </c>
      <c r="N69" s="49" t="s">
        <v>447</v>
      </c>
      <c r="O69" s="49"/>
      <c r="P69" s="93"/>
    </row>
    <row r="70" spans="1:16" hidden="1">
      <c r="A70" s="90"/>
      <c r="B70" s="50" t="s">
        <v>203</v>
      </c>
      <c r="C70" s="65" t="s">
        <v>198</v>
      </c>
      <c r="D70" s="49" t="str">
        <f>SERTIFIKASI_ALAT[[#This Row],[DESCRIPTION]]</f>
        <v>RACK REPAIR HEAVY DUTY</v>
      </c>
      <c r="E70" s="49">
        <v>2.5</v>
      </c>
      <c r="F70" s="66"/>
      <c r="G70" s="61">
        <v>46360</v>
      </c>
      <c r="H70" s="59" t="s">
        <v>411</v>
      </c>
      <c r="I70" s="59">
        <v>45988</v>
      </c>
      <c r="J70" s="59">
        <f t="shared" si="1"/>
        <v>46346</v>
      </c>
      <c r="K70" s="59"/>
      <c r="L70" s="59"/>
      <c r="M70" s="49" t="s">
        <v>199</v>
      </c>
      <c r="N70" s="49" t="s">
        <v>447</v>
      </c>
      <c r="O70" s="49"/>
      <c r="P70" s="93"/>
    </row>
    <row r="71" spans="1:16" hidden="1">
      <c r="A71" s="90"/>
      <c r="B71" s="50" t="s">
        <v>204</v>
      </c>
      <c r="C71" s="65" t="s">
        <v>198</v>
      </c>
      <c r="D71" s="49" t="str">
        <f>SERTIFIKASI_ALAT[[#This Row],[DESCRIPTION]]</f>
        <v>RACK REPAIR HEAVY DUTY</v>
      </c>
      <c r="E71" s="49">
        <v>2.5</v>
      </c>
      <c r="F71" s="66"/>
      <c r="G71" s="61">
        <v>46360</v>
      </c>
      <c r="H71" s="59" t="s">
        <v>411</v>
      </c>
      <c r="I71" s="59">
        <v>45988</v>
      </c>
      <c r="J71" s="59">
        <f t="shared" ref="J71:J102" si="2">G71-14</f>
        <v>46346</v>
      </c>
      <c r="K71" s="59"/>
      <c r="L71" s="59"/>
      <c r="M71" s="49" t="s">
        <v>199</v>
      </c>
      <c r="N71" s="49" t="s">
        <v>447</v>
      </c>
      <c r="O71" s="49"/>
      <c r="P71" s="93"/>
    </row>
    <row r="72" spans="1:16" hidden="1">
      <c r="A72" s="90"/>
      <c r="B72" s="50" t="s">
        <v>205</v>
      </c>
      <c r="C72" s="65" t="s">
        <v>198</v>
      </c>
      <c r="D72" s="49" t="str">
        <f>SERTIFIKASI_ALAT[[#This Row],[DESCRIPTION]]</f>
        <v>RACK REPAIR HEAVY DUTY</v>
      </c>
      <c r="E72" s="49">
        <v>2.5</v>
      </c>
      <c r="F72" s="66"/>
      <c r="G72" s="61">
        <v>46360</v>
      </c>
      <c r="H72" s="59" t="s">
        <v>411</v>
      </c>
      <c r="I72" s="59">
        <v>45988</v>
      </c>
      <c r="J72" s="59">
        <f t="shared" si="2"/>
        <v>46346</v>
      </c>
      <c r="K72" s="59"/>
      <c r="L72" s="59"/>
      <c r="M72" s="49" t="s">
        <v>199</v>
      </c>
      <c r="N72" s="49" t="s">
        <v>447</v>
      </c>
      <c r="O72" s="49"/>
      <c r="P72" s="93"/>
    </row>
    <row r="73" spans="1:16" hidden="1">
      <c r="A73" s="90"/>
      <c r="B73" s="50" t="s">
        <v>206</v>
      </c>
      <c r="C73" s="65" t="s">
        <v>198</v>
      </c>
      <c r="D73" s="49" t="str">
        <f>SERTIFIKASI_ALAT[[#This Row],[DESCRIPTION]]</f>
        <v>RACK REPAIR HEAVY DUTY</v>
      </c>
      <c r="E73" s="49">
        <v>2.5</v>
      </c>
      <c r="F73" s="66"/>
      <c r="G73" s="61">
        <v>46360</v>
      </c>
      <c r="H73" s="59" t="s">
        <v>411</v>
      </c>
      <c r="I73" s="59">
        <v>45988</v>
      </c>
      <c r="J73" s="59">
        <f t="shared" si="2"/>
        <v>46346</v>
      </c>
      <c r="K73" s="59"/>
      <c r="L73" s="59"/>
      <c r="M73" s="49" t="s">
        <v>199</v>
      </c>
      <c r="N73" s="49" t="s">
        <v>447</v>
      </c>
      <c r="O73" s="49"/>
      <c r="P73" s="93"/>
    </row>
    <row r="74" spans="1:16" hidden="1">
      <c r="A74" s="90"/>
      <c r="B74" s="50" t="s">
        <v>207</v>
      </c>
      <c r="C74" s="65" t="s">
        <v>198</v>
      </c>
      <c r="D74" s="49" t="str">
        <f>SERTIFIKASI_ALAT[[#This Row],[DESCRIPTION]]</f>
        <v>RACK REPAIR HEAVY DUTY</v>
      </c>
      <c r="E74" s="49">
        <v>2.5</v>
      </c>
      <c r="F74" s="66"/>
      <c r="G74" s="61">
        <v>46360</v>
      </c>
      <c r="H74" s="59" t="s">
        <v>411</v>
      </c>
      <c r="I74" s="59">
        <v>45988</v>
      </c>
      <c r="J74" s="59">
        <f t="shared" si="2"/>
        <v>46346</v>
      </c>
      <c r="K74" s="59"/>
      <c r="L74" s="59"/>
      <c r="M74" s="49" t="s">
        <v>199</v>
      </c>
      <c r="N74" s="49" t="s">
        <v>447</v>
      </c>
      <c r="O74" s="49"/>
      <c r="P74" s="93"/>
    </row>
    <row r="75" spans="1:16" hidden="1">
      <c r="A75" s="90"/>
      <c r="B75" s="50" t="s">
        <v>208</v>
      </c>
      <c r="C75" s="65" t="s">
        <v>198</v>
      </c>
      <c r="D75" s="49" t="str">
        <f>SERTIFIKASI_ALAT[[#This Row],[DESCRIPTION]]</f>
        <v>RACK REPAIR HEAVY DUTY</v>
      </c>
      <c r="E75" s="49">
        <v>2.5</v>
      </c>
      <c r="F75" s="66"/>
      <c r="G75" s="61">
        <v>46360</v>
      </c>
      <c r="H75" s="59" t="s">
        <v>411</v>
      </c>
      <c r="I75" s="59">
        <v>45988</v>
      </c>
      <c r="J75" s="59">
        <f t="shared" si="2"/>
        <v>46346</v>
      </c>
      <c r="K75" s="59"/>
      <c r="L75" s="59"/>
      <c r="M75" s="49" t="s">
        <v>199</v>
      </c>
      <c r="N75" s="49" t="s">
        <v>447</v>
      </c>
      <c r="O75" s="49"/>
      <c r="P75" s="93"/>
    </row>
    <row r="76" spans="1:16" hidden="1">
      <c r="A76" s="90"/>
      <c r="B76" s="50" t="s">
        <v>209</v>
      </c>
      <c r="C76" s="65" t="s">
        <v>198</v>
      </c>
      <c r="D76" s="49" t="str">
        <f>SERTIFIKASI_ALAT[[#This Row],[DESCRIPTION]]</f>
        <v>RACK REPAIR HEAVY DUTY</v>
      </c>
      <c r="E76" s="49">
        <v>2.5</v>
      </c>
      <c r="F76" s="66"/>
      <c r="G76" s="61">
        <v>46360</v>
      </c>
      <c r="H76" s="59" t="s">
        <v>411</v>
      </c>
      <c r="I76" s="59">
        <v>45988</v>
      </c>
      <c r="J76" s="59">
        <f t="shared" si="2"/>
        <v>46346</v>
      </c>
      <c r="K76" s="59"/>
      <c r="L76" s="59"/>
      <c r="M76" s="49" t="s">
        <v>199</v>
      </c>
      <c r="N76" s="49" t="s">
        <v>447</v>
      </c>
      <c r="O76" s="49"/>
      <c r="P76" s="93"/>
    </row>
    <row r="77" spans="1:16" hidden="1">
      <c r="A77" s="90"/>
      <c r="B77" s="50" t="s">
        <v>210</v>
      </c>
      <c r="C77" s="65" t="s">
        <v>198</v>
      </c>
      <c r="D77" s="49" t="str">
        <f>SERTIFIKASI_ALAT[[#This Row],[DESCRIPTION]]</f>
        <v>RACK REPAIR HEAVY DUTY</v>
      </c>
      <c r="E77" s="49">
        <v>2.5</v>
      </c>
      <c r="F77" s="66"/>
      <c r="G77" s="61">
        <v>46360</v>
      </c>
      <c r="H77" s="59" t="s">
        <v>411</v>
      </c>
      <c r="I77" s="59">
        <v>45988</v>
      </c>
      <c r="J77" s="59">
        <f t="shared" si="2"/>
        <v>46346</v>
      </c>
      <c r="K77" s="59"/>
      <c r="L77" s="59"/>
      <c r="M77" s="49" t="s">
        <v>199</v>
      </c>
      <c r="N77" s="49" t="s">
        <v>447</v>
      </c>
      <c r="O77" s="49"/>
      <c r="P77" s="93"/>
    </row>
    <row r="78" spans="1:16" hidden="1">
      <c r="A78" s="90"/>
      <c r="B78" s="50" t="s">
        <v>211</v>
      </c>
      <c r="C78" s="65" t="s">
        <v>198</v>
      </c>
      <c r="D78" s="49" t="str">
        <f>SERTIFIKASI_ALAT[[#This Row],[DESCRIPTION]]</f>
        <v>RACK REPAIR HEAVY DUTY</v>
      </c>
      <c r="E78" s="49">
        <v>2.5</v>
      </c>
      <c r="F78" s="66"/>
      <c r="G78" s="61">
        <v>46360</v>
      </c>
      <c r="H78" s="59" t="s">
        <v>411</v>
      </c>
      <c r="I78" s="59">
        <v>45988</v>
      </c>
      <c r="J78" s="59">
        <f t="shared" si="2"/>
        <v>46346</v>
      </c>
      <c r="K78" s="59"/>
      <c r="L78" s="59"/>
      <c r="M78" s="49" t="s">
        <v>199</v>
      </c>
      <c r="N78" s="49" t="s">
        <v>447</v>
      </c>
      <c r="O78" s="49"/>
      <c r="P78" s="93"/>
    </row>
    <row r="79" spans="1:16" hidden="1">
      <c r="A79" s="90"/>
      <c r="B79" s="50" t="s">
        <v>212</v>
      </c>
      <c r="C79" s="65" t="s">
        <v>198</v>
      </c>
      <c r="D79" s="49" t="str">
        <f>SERTIFIKASI_ALAT[[#This Row],[DESCRIPTION]]</f>
        <v>RACK REPAIR HEAVY DUTY</v>
      </c>
      <c r="E79" s="49">
        <v>2.5</v>
      </c>
      <c r="F79" s="66"/>
      <c r="G79" s="61">
        <v>46360</v>
      </c>
      <c r="H79" s="59" t="s">
        <v>411</v>
      </c>
      <c r="I79" s="59">
        <v>45988</v>
      </c>
      <c r="J79" s="59">
        <f t="shared" si="2"/>
        <v>46346</v>
      </c>
      <c r="K79" s="59"/>
      <c r="L79" s="59"/>
      <c r="M79" s="49" t="s">
        <v>448</v>
      </c>
      <c r="N79" s="49" t="s">
        <v>447</v>
      </c>
      <c r="O79" s="49"/>
      <c r="P79" s="93"/>
    </row>
    <row r="80" spans="1:16" hidden="1">
      <c r="A80" s="90"/>
      <c r="B80" s="50" t="s">
        <v>214</v>
      </c>
      <c r="C80" s="65" t="s">
        <v>198</v>
      </c>
      <c r="D80" s="49" t="str">
        <f>SERTIFIKASI_ALAT[[#This Row],[DESCRIPTION]]</f>
        <v>RACK REPAIR HEAVY DUTY</v>
      </c>
      <c r="E80" s="49">
        <v>2.5</v>
      </c>
      <c r="F80" s="66"/>
      <c r="G80" s="61">
        <v>46360</v>
      </c>
      <c r="H80" s="59" t="s">
        <v>411</v>
      </c>
      <c r="I80" s="59">
        <v>45988</v>
      </c>
      <c r="J80" s="59">
        <f t="shared" si="2"/>
        <v>46346</v>
      </c>
      <c r="K80" s="59"/>
      <c r="L80" s="59"/>
      <c r="M80" s="49" t="s">
        <v>448</v>
      </c>
      <c r="N80" s="49" t="s">
        <v>447</v>
      </c>
      <c r="O80" s="49"/>
      <c r="P80" s="93"/>
    </row>
    <row r="81" spans="1:16" hidden="1">
      <c r="A81" s="90"/>
      <c r="B81" s="50" t="s">
        <v>215</v>
      </c>
      <c r="C81" s="65" t="s">
        <v>198</v>
      </c>
      <c r="D81" s="49" t="str">
        <f>SERTIFIKASI_ALAT[[#This Row],[DESCRIPTION]]</f>
        <v>RACK REPAIR HEAVY DUTY</v>
      </c>
      <c r="E81" s="49">
        <v>2.5</v>
      </c>
      <c r="F81" s="66"/>
      <c r="G81" s="61">
        <v>46360</v>
      </c>
      <c r="H81" s="59" t="s">
        <v>411</v>
      </c>
      <c r="I81" s="59">
        <v>45988</v>
      </c>
      <c r="J81" s="59">
        <f t="shared" si="2"/>
        <v>46346</v>
      </c>
      <c r="K81" s="59"/>
      <c r="L81" s="59"/>
      <c r="M81" s="49" t="s">
        <v>448</v>
      </c>
      <c r="N81" s="49" t="s">
        <v>447</v>
      </c>
      <c r="O81" s="49"/>
      <c r="P81" s="93"/>
    </row>
    <row r="82" spans="1:16" hidden="1">
      <c r="A82" s="90"/>
      <c r="B82" s="50" t="s">
        <v>216</v>
      </c>
      <c r="C82" s="65" t="s">
        <v>198</v>
      </c>
      <c r="D82" s="49" t="str">
        <f>SERTIFIKASI_ALAT[[#This Row],[DESCRIPTION]]</f>
        <v>RACK REPAIR HEAVY DUTY</v>
      </c>
      <c r="E82" s="49">
        <v>2.5</v>
      </c>
      <c r="F82" s="66"/>
      <c r="G82" s="61">
        <v>46360</v>
      </c>
      <c r="H82" s="59" t="s">
        <v>411</v>
      </c>
      <c r="I82" s="59">
        <v>45988</v>
      </c>
      <c r="J82" s="59">
        <f t="shared" si="2"/>
        <v>46346</v>
      </c>
      <c r="K82" s="59"/>
      <c r="L82" s="59"/>
      <c r="M82" s="49" t="s">
        <v>448</v>
      </c>
      <c r="N82" s="49" t="s">
        <v>447</v>
      </c>
      <c r="O82" s="49"/>
      <c r="P82" s="93"/>
    </row>
    <row r="83" spans="1:16" hidden="1">
      <c r="A83" s="90"/>
      <c r="B83" s="50" t="s">
        <v>217</v>
      </c>
      <c r="C83" s="65" t="s">
        <v>198</v>
      </c>
      <c r="D83" s="49" t="str">
        <f>SERTIFIKASI_ALAT[[#This Row],[DESCRIPTION]]</f>
        <v>RACK REPAIR HEAVY DUTY</v>
      </c>
      <c r="E83" s="49">
        <v>2.5</v>
      </c>
      <c r="F83" s="66"/>
      <c r="G83" s="61">
        <v>46360</v>
      </c>
      <c r="H83" s="59" t="s">
        <v>411</v>
      </c>
      <c r="I83" s="59">
        <v>45988</v>
      </c>
      <c r="J83" s="59">
        <f t="shared" si="2"/>
        <v>46346</v>
      </c>
      <c r="K83" s="59"/>
      <c r="L83" s="59"/>
      <c r="M83" s="49" t="s">
        <v>448</v>
      </c>
      <c r="N83" s="49" t="s">
        <v>447</v>
      </c>
      <c r="O83" s="49"/>
      <c r="P83" s="93"/>
    </row>
    <row r="84" spans="1:16" hidden="1">
      <c r="A84" s="90"/>
      <c r="B84" s="50" t="s">
        <v>218</v>
      </c>
      <c r="C84" s="65" t="s">
        <v>198</v>
      </c>
      <c r="D84" s="49" t="str">
        <f>SERTIFIKASI_ALAT[[#This Row],[DESCRIPTION]]</f>
        <v>RACK REPAIR HEAVY DUTY</v>
      </c>
      <c r="E84" s="49">
        <v>2.5</v>
      </c>
      <c r="F84" s="66"/>
      <c r="G84" s="61">
        <v>46360</v>
      </c>
      <c r="H84" s="59" t="s">
        <v>411</v>
      </c>
      <c r="I84" s="59">
        <v>45988</v>
      </c>
      <c r="J84" s="59">
        <f t="shared" si="2"/>
        <v>46346</v>
      </c>
      <c r="K84" s="59"/>
      <c r="L84" s="59"/>
      <c r="M84" s="49" t="s">
        <v>448</v>
      </c>
      <c r="N84" s="49" t="s">
        <v>447</v>
      </c>
      <c r="O84" s="49"/>
      <c r="P84" s="93"/>
    </row>
    <row r="85" spans="1:16" hidden="1">
      <c r="A85" s="90"/>
      <c r="B85" s="50" t="s">
        <v>219</v>
      </c>
      <c r="C85" s="65" t="s">
        <v>198</v>
      </c>
      <c r="D85" s="49" t="str">
        <f>SERTIFIKASI_ALAT[[#This Row],[DESCRIPTION]]</f>
        <v>RACK REPAIR HEAVY DUTY</v>
      </c>
      <c r="E85" s="49">
        <v>2.5</v>
      </c>
      <c r="F85" s="66"/>
      <c r="G85" s="61">
        <v>46360</v>
      </c>
      <c r="H85" s="59" t="s">
        <v>411</v>
      </c>
      <c r="I85" s="59">
        <v>45988</v>
      </c>
      <c r="J85" s="59">
        <f t="shared" si="2"/>
        <v>46346</v>
      </c>
      <c r="K85" s="59"/>
      <c r="L85" s="59"/>
      <c r="M85" s="49" t="s">
        <v>448</v>
      </c>
      <c r="N85" s="49" t="s">
        <v>447</v>
      </c>
      <c r="O85" s="49"/>
      <c r="P85" s="93"/>
    </row>
    <row r="86" spans="1:16" hidden="1">
      <c r="A86" s="90"/>
      <c r="B86" s="50" t="s">
        <v>220</v>
      </c>
      <c r="C86" s="65" t="s">
        <v>198</v>
      </c>
      <c r="D86" s="49" t="str">
        <f>SERTIFIKASI_ALAT[[#This Row],[DESCRIPTION]]</f>
        <v>RACK REPAIR HEAVY DUTY</v>
      </c>
      <c r="E86" s="49">
        <v>2.5</v>
      </c>
      <c r="F86" s="66"/>
      <c r="G86" s="61">
        <v>46360</v>
      </c>
      <c r="H86" s="59" t="s">
        <v>411</v>
      </c>
      <c r="I86" s="59">
        <v>45988</v>
      </c>
      <c r="J86" s="59">
        <f t="shared" si="2"/>
        <v>46346</v>
      </c>
      <c r="K86" s="59"/>
      <c r="L86" s="59"/>
      <c r="M86" s="49" t="s">
        <v>448</v>
      </c>
      <c r="N86" s="49" t="s">
        <v>447</v>
      </c>
      <c r="O86" s="49"/>
      <c r="P86" s="93"/>
    </row>
    <row r="87" spans="1:16" hidden="1">
      <c r="A87" s="90"/>
      <c r="B87" s="50" t="s">
        <v>221</v>
      </c>
      <c r="C87" s="65" t="s">
        <v>198</v>
      </c>
      <c r="D87" s="49" t="str">
        <f>SERTIFIKASI_ALAT[[#This Row],[DESCRIPTION]]</f>
        <v>RACK REPAIR HEAVY DUTY</v>
      </c>
      <c r="E87" s="49">
        <v>2.5</v>
      </c>
      <c r="F87" s="66"/>
      <c r="G87" s="61">
        <v>46360</v>
      </c>
      <c r="H87" s="59" t="s">
        <v>411</v>
      </c>
      <c r="I87" s="59">
        <v>45988</v>
      </c>
      <c r="J87" s="59">
        <f t="shared" si="2"/>
        <v>46346</v>
      </c>
      <c r="K87" s="59"/>
      <c r="L87" s="59"/>
      <c r="M87" s="49" t="s">
        <v>448</v>
      </c>
      <c r="N87" s="49" t="s">
        <v>447</v>
      </c>
      <c r="O87" s="49"/>
      <c r="P87" s="93"/>
    </row>
    <row r="88" spans="1:16" hidden="1">
      <c r="A88" s="90"/>
      <c r="B88" s="50" t="s">
        <v>222</v>
      </c>
      <c r="C88" s="65" t="s">
        <v>198</v>
      </c>
      <c r="D88" s="49" t="str">
        <f>SERTIFIKASI_ALAT[[#This Row],[DESCRIPTION]]</f>
        <v>RACK REPAIR HEAVY DUTY</v>
      </c>
      <c r="E88" s="49">
        <v>2.5</v>
      </c>
      <c r="F88" s="66"/>
      <c r="G88" s="61">
        <v>46360</v>
      </c>
      <c r="H88" s="59" t="s">
        <v>411</v>
      </c>
      <c r="I88" s="59">
        <v>45988</v>
      </c>
      <c r="J88" s="59">
        <f t="shared" si="2"/>
        <v>46346</v>
      </c>
      <c r="K88" s="59"/>
      <c r="L88" s="59"/>
      <c r="M88" s="49" t="s">
        <v>448</v>
      </c>
      <c r="N88" s="49" t="s">
        <v>447</v>
      </c>
      <c r="O88" s="49"/>
      <c r="P88" s="93"/>
    </row>
    <row r="89" spans="1:16" hidden="1">
      <c r="A89" s="90"/>
      <c r="B89" s="50" t="s">
        <v>223</v>
      </c>
      <c r="C89" s="65" t="s">
        <v>198</v>
      </c>
      <c r="D89" s="49" t="str">
        <f>SERTIFIKASI_ALAT[[#This Row],[DESCRIPTION]]</f>
        <v>RACK REPAIR HEAVY DUTY</v>
      </c>
      <c r="E89" s="49">
        <v>2.5</v>
      </c>
      <c r="F89" s="66"/>
      <c r="G89" s="61">
        <v>46360</v>
      </c>
      <c r="H89" s="59" t="s">
        <v>411</v>
      </c>
      <c r="I89" s="59">
        <v>45988</v>
      </c>
      <c r="J89" s="59">
        <f t="shared" si="2"/>
        <v>46346</v>
      </c>
      <c r="K89" s="59"/>
      <c r="L89" s="59"/>
      <c r="M89" s="49" t="s">
        <v>448</v>
      </c>
      <c r="N89" s="49" t="s">
        <v>447</v>
      </c>
      <c r="O89" s="49"/>
      <c r="P89" s="93"/>
    </row>
    <row r="90" spans="1:16" hidden="1">
      <c r="A90" s="90"/>
      <c r="B90" s="50" t="s">
        <v>224</v>
      </c>
      <c r="C90" s="65" t="s">
        <v>198</v>
      </c>
      <c r="D90" s="49" t="str">
        <f>SERTIFIKASI_ALAT[[#This Row],[DESCRIPTION]]</f>
        <v>RACK REPAIR HEAVY DUTY</v>
      </c>
      <c r="E90" s="49">
        <v>2.5</v>
      </c>
      <c r="F90" s="66"/>
      <c r="G90" s="61">
        <v>46360</v>
      </c>
      <c r="H90" s="59" t="s">
        <v>411</v>
      </c>
      <c r="I90" s="59">
        <v>45988</v>
      </c>
      <c r="J90" s="59">
        <f t="shared" si="2"/>
        <v>46346</v>
      </c>
      <c r="K90" s="59"/>
      <c r="L90" s="59"/>
      <c r="M90" s="49" t="s">
        <v>448</v>
      </c>
      <c r="N90" s="49" t="s">
        <v>447</v>
      </c>
      <c r="O90" s="49"/>
      <c r="P90" s="93"/>
    </row>
    <row r="91" spans="1:16" hidden="1">
      <c r="A91" s="90"/>
      <c r="B91" s="50" t="s">
        <v>225</v>
      </c>
      <c r="C91" s="65" t="s">
        <v>198</v>
      </c>
      <c r="D91" s="49" t="str">
        <f>SERTIFIKASI_ALAT[[#This Row],[DESCRIPTION]]</f>
        <v>RACK REPAIR HEAVY DUTY</v>
      </c>
      <c r="E91" s="49">
        <v>2.5</v>
      </c>
      <c r="F91" s="66"/>
      <c r="G91" s="61">
        <v>46360</v>
      </c>
      <c r="H91" s="59" t="s">
        <v>411</v>
      </c>
      <c r="I91" s="59">
        <v>45988</v>
      </c>
      <c r="J91" s="59">
        <f t="shared" si="2"/>
        <v>46346</v>
      </c>
      <c r="K91" s="59"/>
      <c r="L91" s="59"/>
      <c r="M91" s="49" t="s">
        <v>448</v>
      </c>
      <c r="N91" s="49" t="s">
        <v>447</v>
      </c>
      <c r="O91" s="49"/>
      <c r="P91" s="93"/>
    </row>
    <row r="92" spans="1:16" s="78" customFormat="1" hidden="1">
      <c r="A92" s="90"/>
      <c r="B92" s="50" t="s">
        <v>226</v>
      </c>
      <c r="C92" s="65" t="s">
        <v>198</v>
      </c>
      <c r="D92" s="49" t="str">
        <f>SERTIFIKASI_ALAT[[#This Row],[DESCRIPTION]]</f>
        <v>RACK REPAIR HEAVY DUTY</v>
      </c>
      <c r="E92" s="49">
        <v>2.5</v>
      </c>
      <c r="F92" s="66"/>
      <c r="G92" s="61">
        <v>46360</v>
      </c>
      <c r="H92" s="59" t="s">
        <v>411</v>
      </c>
      <c r="I92" s="59">
        <v>45988</v>
      </c>
      <c r="J92" s="59">
        <f t="shared" si="2"/>
        <v>46346</v>
      </c>
      <c r="K92" s="59"/>
      <c r="L92" s="59"/>
      <c r="M92" s="49" t="s">
        <v>448</v>
      </c>
      <c r="N92" s="49" t="s">
        <v>447</v>
      </c>
      <c r="O92" s="49"/>
      <c r="P92" s="93"/>
    </row>
    <row r="93" spans="1:16" hidden="1">
      <c r="A93" s="90"/>
      <c r="B93" s="50" t="s">
        <v>51</v>
      </c>
      <c r="C93" s="51" t="s">
        <v>36</v>
      </c>
      <c r="D93" s="49" t="str">
        <f>SERTIFIKASI_ALAT[[#This Row],[DESCRIPTION]]</f>
        <v>CHAIN SLING</v>
      </c>
      <c r="E93" s="49">
        <v>5.5</v>
      </c>
      <c r="F93" s="49"/>
      <c r="G93" s="56">
        <v>46366</v>
      </c>
      <c r="H93" s="59" t="s">
        <v>411</v>
      </c>
      <c r="I93" s="59">
        <v>45988</v>
      </c>
      <c r="J93" s="59">
        <f t="shared" si="2"/>
        <v>46352</v>
      </c>
      <c r="K93" s="59"/>
      <c r="L93" s="59"/>
      <c r="M93" s="49"/>
      <c r="N93" s="49"/>
      <c r="O93" s="49"/>
      <c r="P93" s="93"/>
    </row>
    <row r="94" spans="1:16" hidden="1">
      <c r="A94" s="90"/>
      <c r="B94" s="50">
        <v>7709</v>
      </c>
      <c r="C94" s="51" t="s">
        <v>449</v>
      </c>
      <c r="D94" s="49" t="s">
        <v>53</v>
      </c>
      <c r="E94" s="49">
        <v>2</v>
      </c>
      <c r="F94" s="49"/>
      <c r="G94" s="56">
        <v>46366</v>
      </c>
      <c r="H94" s="59" t="s">
        <v>411</v>
      </c>
      <c r="I94" s="59">
        <v>45988</v>
      </c>
      <c r="J94" s="59">
        <f t="shared" si="2"/>
        <v>46352</v>
      </c>
      <c r="K94" s="59"/>
      <c r="L94" s="59"/>
      <c r="M94" s="49" t="s">
        <v>414</v>
      </c>
      <c r="N94" s="49" t="s">
        <v>450</v>
      </c>
      <c r="O94" s="49"/>
      <c r="P94" s="93"/>
    </row>
    <row r="95" spans="1:16" hidden="1">
      <c r="A95" s="90"/>
      <c r="B95" s="54">
        <v>7710</v>
      </c>
      <c r="C95" s="64" t="s">
        <v>449</v>
      </c>
      <c r="D95" s="49" t="s">
        <v>53</v>
      </c>
      <c r="E95" s="49">
        <v>2</v>
      </c>
      <c r="F95" s="66"/>
      <c r="G95" s="56">
        <v>46366</v>
      </c>
      <c r="H95" s="59" t="s">
        <v>411</v>
      </c>
      <c r="I95" s="59">
        <v>45988</v>
      </c>
      <c r="J95" s="59">
        <f t="shared" si="2"/>
        <v>46352</v>
      </c>
      <c r="K95" s="59"/>
      <c r="L95" s="59"/>
      <c r="M95" s="49" t="s">
        <v>451</v>
      </c>
      <c r="N95" s="49" t="s">
        <v>450</v>
      </c>
      <c r="O95" s="49" t="s">
        <v>427</v>
      </c>
      <c r="P95" s="93">
        <v>7710</v>
      </c>
    </row>
    <row r="96" spans="1:16" hidden="1">
      <c r="A96" s="90"/>
      <c r="B96" s="50" t="s">
        <v>57</v>
      </c>
      <c r="C96" s="64" t="s">
        <v>452</v>
      </c>
      <c r="D96" s="49" t="s">
        <v>53</v>
      </c>
      <c r="E96" s="49">
        <v>3.2</v>
      </c>
      <c r="F96" s="66"/>
      <c r="G96" s="56">
        <v>46366</v>
      </c>
      <c r="H96" s="59" t="s">
        <v>411</v>
      </c>
      <c r="I96" s="59">
        <v>45988</v>
      </c>
      <c r="J96" s="59">
        <f t="shared" si="2"/>
        <v>46352</v>
      </c>
      <c r="K96" s="59"/>
      <c r="L96" s="59"/>
      <c r="M96" s="49" t="s">
        <v>405</v>
      </c>
      <c r="N96" s="49" t="s">
        <v>450</v>
      </c>
      <c r="O96" s="49" t="s">
        <v>427</v>
      </c>
      <c r="P96" s="93"/>
    </row>
    <row r="97" spans="1:16" hidden="1">
      <c r="A97" s="90"/>
      <c r="B97" s="50" t="s">
        <v>59</v>
      </c>
      <c r="C97" s="64" t="s">
        <v>453</v>
      </c>
      <c r="D97" s="49" t="s">
        <v>53</v>
      </c>
      <c r="E97" s="49">
        <v>3.2</v>
      </c>
      <c r="F97" s="66"/>
      <c r="G97" s="56">
        <v>46366</v>
      </c>
      <c r="H97" s="59" t="s">
        <v>411</v>
      </c>
      <c r="I97" s="59">
        <v>45988</v>
      </c>
      <c r="J97" s="59">
        <f t="shared" si="2"/>
        <v>46352</v>
      </c>
      <c r="K97" s="59"/>
      <c r="L97" s="59"/>
      <c r="M97" s="49" t="s">
        <v>405</v>
      </c>
      <c r="N97" s="49" t="s">
        <v>450</v>
      </c>
      <c r="O97" s="49" t="s">
        <v>427</v>
      </c>
      <c r="P97" s="96">
        <v>7705</v>
      </c>
    </row>
    <row r="98" spans="1:16" hidden="1">
      <c r="A98" s="90"/>
      <c r="B98" s="50" t="s">
        <v>60</v>
      </c>
      <c r="C98" s="64" t="s">
        <v>454</v>
      </c>
      <c r="D98" s="49" t="s">
        <v>53</v>
      </c>
      <c r="E98" s="49">
        <v>5</v>
      </c>
      <c r="F98" s="66"/>
      <c r="G98" s="56">
        <v>46366</v>
      </c>
      <c r="H98" s="59" t="s">
        <v>411</v>
      </c>
      <c r="I98" s="59">
        <v>45988</v>
      </c>
      <c r="J98" s="59">
        <f t="shared" si="2"/>
        <v>46352</v>
      </c>
      <c r="K98" s="59"/>
      <c r="L98" s="59"/>
      <c r="M98" s="49" t="s">
        <v>405</v>
      </c>
      <c r="N98" s="49" t="s">
        <v>450</v>
      </c>
      <c r="O98" s="49" t="s">
        <v>427</v>
      </c>
      <c r="P98" s="95">
        <v>7702</v>
      </c>
    </row>
    <row r="99" spans="1:16" hidden="1">
      <c r="A99" s="90"/>
      <c r="B99" s="50" t="s">
        <v>61</v>
      </c>
      <c r="C99" s="64" t="s">
        <v>455</v>
      </c>
      <c r="D99" s="49" t="s">
        <v>53</v>
      </c>
      <c r="E99" s="49">
        <v>5</v>
      </c>
      <c r="F99" s="66"/>
      <c r="G99" s="56">
        <v>46366</v>
      </c>
      <c r="H99" s="59" t="s">
        <v>411</v>
      </c>
      <c r="I99" s="59">
        <v>45988</v>
      </c>
      <c r="J99" s="59">
        <f t="shared" si="2"/>
        <v>46352</v>
      </c>
      <c r="K99" s="59"/>
      <c r="L99" s="59"/>
      <c r="M99" s="49" t="s">
        <v>405</v>
      </c>
      <c r="N99" s="49" t="s">
        <v>450</v>
      </c>
      <c r="O99" s="49" t="s">
        <v>427</v>
      </c>
      <c r="P99" s="95">
        <v>7703</v>
      </c>
    </row>
    <row r="100" spans="1:16" hidden="1">
      <c r="A100" s="90"/>
      <c r="B100" s="50" t="s">
        <v>62</v>
      </c>
      <c r="C100" s="64" t="s">
        <v>456</v>
      </c>
      <c r="D100" s="49" t="s">
        <v>53</v>
      </c>
      <c r="E100" s="49">
        <v>7.5</v>
      </c>
      <c r="F100" s="66"/>
      <c r="G100" s="56">
        <v>46366</v>
      </c>
      <c r="H100" s="59" t="s">
        <v>411</v>
      </c>
      <c r="I100" s="59">
        <v>45988</v>
      </c>
      <c r="J100" s="59">
        <f t="shared" si="2"/>
        <v>46352</v>
      </c>
      <c r="K100" s="59"/>
      <c r="L100" s="59"/>
      <c r="M100" s="49" t="s">
        <v>457</v>
      </c>
      <c r="N100" s="49" t="s">
        <v>450</v>
      </c>
      <c r="O100" s="49" t="s">
        <v>427</v>
      </c>
      <c r="P100" s="96">
        <v>7707</v>
      </c>
    </row>
    <row r="101" spans="1:16" hidden="1">
      <c r="A101" s="90"/>
      <c r="B101" s="50" t="s">
        <v>64</v>
      </c>
      <c r="C101" s="64" t="s">
        <v>458</v>
      </c>
      <c r="D101" s="49" t="s">
        <v>53</v>
      </c>
      <c r="E101" s="49">
        <v>7.5</v>
      </c>
      <c r="F101" s="66"/>
      <c r="G101" s="56">
        <v>46366</v>
      </c>
      <c r="H101" s="59" t="s">
        <v>411</v>
      </c>
      <c r="I101" s="59">
        <v>45988</v>
      </c>
      <c r="J101" s="59">
        <f t="shared" si="2"/>
        <v>46352</v>
      </c>
      <c r="K101" s="59"/>
      <c r="L101" s="59"/>
      <c r="M101" s="49" t="s">
        <v>414</v>
      </c>
      <c r="N101" s="49" t="s">
        <v>450</v>
      </c>
      <c r="O101" s="49" t="s">
        <v>427</v>
      </c>
      <c r="P101" s="96">
        <v>7706</v>
      </c>
    </row>
    <row r="102" spans="1:16" hidden="1">
      <c r="A102" s="90"/>
      <c r="B102" s="50" t="s">
        <v>193</v>
      </c>
      <c r="C102" s="64" t="s">
        <v>459</v>
      </c>
      <c r="D102" s="66" t="s">
        <v>194</v>
      </c>
      <c r="E102" s="49">
        <v>3.2</v>
      </c>
      <c r="F102" s="66"/>
      <c r="G102" s="56">
        <v>46366</v>
      </c>
      <c r="H102" s="59" t="s">
        <v>411</v>
      </c>
      <c r="I102" s="59">
        <v>45988</v>
      </c>
      <c r="J102" s="59">
        <f t="shared" si="2"/>
        <v>46352</v>
      </c>
      <c r="K102" s="59"/>
      <c r="L102" s="59"/>
      <c r="M102" s="49" t="s">
        <v>460</v>
      </c>
      <c r="N102" s="49" t="s">
        <v>450</v>
      </c>
      <c r="O102" s="49" t="s">
        <v>461</v>
      </c>
      <c r="P102" s="95">
        <v>7708</v>
      </c>
    </row>
    <row r="103" spans="1:16" hidden="1">
      <c r="A103" s="90"/>
      <c r="B103" s="50" t="s">
        <v>196</v>
      </c>
      <c r="C103" s="64" t="s">
        <v>462</v>
      </c>
      <c r="D103" s="66" t="s">
        <v>194</v>
      </c>
      <c r="E103" s="49">
        <v>10</v>
      </c>
      <c r="F103" s="66"/>
      <c r="G103" s="56">
        <v>46366</v>
      </c>
      <c r="H103" s="59" t="s">
        <v>411</v>
      </c>
      <c r="I103" s="59">
        <v>46001</v>
      </c>
      <c r="J103" s="59">
        <f t="shared" ref="J103:J110" si="3">G103-14</f>
        <v>46352</v>
      </c>
      <c r="K103" s="59"/>
      <c r="L103" s="59"/>
      <c r="M103" s="49" t="s">
        <v>405</v>
      </c>
      <c r="N103" s="49" t="s">
        <v>450</v>
      </c>
      <c r="O103" s="49" t="s">
        <v>461</v>
      </c>
      <c r="P103" s="94"/>
    </row>
    <row r="104" spans="1:16" hidden="1">
      <c r="A104" s="90"/>
      <c r="B104" s="54" t="s">
        <v>119</v>
      </c>
      <c r="C104" s="64" t="s">
        <v>463</v>
      </c>
      <c r="D104" s="66" t="s">
        <v>117</v>
      </c>
      <c r="E104" s="49">
        <v>5</v>
      </c>
      <c r="F104" s="66"/>
      <c r="G104" s="56">
        <v>46366</v>
      </c>
      <c r="H104" s="59" t="s">
        <v>411</v>
      </c>
      <c r="I104" s="59">
        <v>45988</v>
      </c>
      <c r="J104" s="59">
        <f t="shared" si="3"/>
        <v>46352</v>
      </c>
      <c r="K104" s="59"/>
      <c r="L104" s="59"/>
      <c r="M104" s="52" t="s">
        <v>21</v>
      </c>
      <c r="N104" s="49" t="s">
        <v>426</v>
      </c>
      <c r="O104" s="52"/>
      <c r="P104" s="94" t="s">
        <v>119</v>
      </c>
    </row>
    <row r="105" spans="1:16" hidden="1">
      <c r="A105" s="91"/>
      <c r="B105" s="83" t="s">
        <v>121</v>
      </c>
      <c r="C105" s="84" t="s">
        <v>464</v>
      </c>
      <c r="D105" s="66" t="s">
        <v>117</v>
      </c>
      <c r="E105" s="82">
        <v>10</v>
      </c>
      <c r="F105" s="85"/>
      <c r="G105" s="56">
        <v>46366</v>
      </c>
      <c r="H105" s="86" t="s">
        <v>411</v>
      </c>
      <c r="I105" s="59">
        <v>45988</v>
      </c>
      <c r="J105" s="59">
        <f t="shared" si="3"/>
        <v>46352</v>
      </c>
      <c r="K105" s="86"/>
      <c r="L105" s="86"/>
      <c r="M105" s="82" t="s">
        <v>21</v>
      </c>
      <c r="N105" s="82" t="s">
        <v>426</v>
      </c>
      <c r="O105" s="82"/>
      <c r="P105" s="97" t="s">
        <v>121</v>
      </c>
    </row>
    <row r="106" spans="1:16" hidden="1">
      <c r="A106" s="90"/>
      <c r="B106" s="50" t="s">
        <v>123</v>
      </c>
      <c r="C106" s="64" t="s">
        <v>465</v>
      </c>
      <c r="D106" s="66" t="s">
        <v>117</v>
      </c>
      <c r="E106" s="49">
        <v>3</v>
      </c>
      <c r="F106" s="66"/>
      <c r="G106" s="56">
        <v>46366</v>
      </c>
      <c r="H106" s="59" t="s">
        <v>411</v>
      </c>
      <c r="I106" s="59">
        <v>45988</v>
      </c>
      <c r="J106" s="59">
        <f t="shared" si="3"/>
        <v>46352</v>
      </c>
      <c r="K106" s="59"/>
      <c r="L106" s="59"/>
      <c r="M106" s="49" t="s">
        <v>21</v>
      </c>
      <c r="N106" s="49" t="s">
        <v>426</v>
      </c>
      <c r="O106" s="49"/>
      <c r="P106" s="95" t="s">
        <v>123</v>
      </c>
    </row>
    <row r="107" spans="1:16" hidden="1">
      <c r="A107" s="90"/>
      <c r="B107" s="54" t="s">
        <v>31</v>
      </c>
      <c r="C107" s="51" t="s">
        <v>32</v>
      </c>
      <c r="D107" s="49" t="str">
        <f>SERTIFIKASI_ALAT[[#This Row],[DESCRIPTION]]</f>
        <v>AIR RECIEVER TANK</v>
      </c>
      <c r="E107" s="49"/>
      <c r="F107" s="49" t="s">
        <v>466</v>
      </c>
      <c r="G107" s="56">
        <v>46392</v>
      </c>
      <c r="H107" s="59" t="s">
        <v>411</v>
      </c>
      <c r="I107" s="59">
        <v>46027</v>
      </c>
      <c r="J107" s="59">
        <f t="shared" si="3"/>
        <v>46378</v>
      </c>
      <c r="K107" s="79"/>
      <c r="L107" s="79"/>
      <c r="M107" s="49" t="s">
        <v>21</v>
      </c>
      <c r="N107" s="49"/>
      <c r="O107" s="49"/>
      <c r="P107" s="94"/>
    </row>
    <row r="108" spans="1:16" hidden="1">
      <c r="A108" s="90"/>
      <c r="B108" s="54" t="s">
        <v>34</v>
      </c>
      <c r="C108" s="51" t="s">
        <v>32</v>
      </c>
      <c r="D108" s="49" t="str">
        <f>SERTIFIKASI_ALAT[[#This Row],[DESCRIPTION]]</f>
        <v>AIR RECIEVER TANK</v>
      </c>
      <c r="E108" s="49"/>
      <c r="F108" s="49" t="s">
        <v>466</v>
      </c>
      <c r="G108" s="56">
        <v>46392</v>
      </c>
      <c r="H108" s="59" t="s">
        <v>411</v>
      </c>
      <c r="I108" s="59">
        <v>46027</v>
      </c>
      <c r="J108" s="59">
        <f t="shared" si="3"/>
        <v>46378</v>
      </c>
      <c r="K108" s="79"/>
      <c r="L108" s="79"/>
      <c r="M108" s="49" t="s">
        <v>21</v>
      </c>
      <c r="N108" s="49"/>
      <c r="O108" s="49"/>
      <c r="P108" s="94"/>
    </row>
    <row r="109" spans="1:16" hidden="1">
      <c r="A109" s="90"/>
      <c r="B109" s="50" t="s">
        <v>162</v>
      </c>
      <c r="C109" s="51" t="s">
        <v>160</v>
      </c>
      <c r="D109" s="49" t="str">
        <f>SERTIFIKASI_ALAT[[#This Row],[DESCRIPTION]]</f>
        <v>JACK PRESS</v>
      </c>
      <c r="E109" s="49">
        <v>200</v>
      </c>
      <c r="F109" s="49"/>
      <c r="G109" s="56">
        <v>46392</v>
      </c>
      <c r="H109" s="59" t="s">
        <v>411</v>
      </c>
      <c r="I109" s="59">
        <v>46027</v>
      </c>
      <c r="J109" s="59">
        <f t="shared" si="3"/>
        <v>46378</v>
      </c>
      <c r="K109" s="80"/>
      <c r="L109" s="79">
        <v>4010372598</v>
      </c>
      <c r="M109" s="49" t="s">
        <v>414</v>
      </c>
      <c r="N109" s="49" t="s">
        <v>406</v>
      </c>
      <c r="O109" s="49"/>
      <c r="P109" s="93"/>
    </row>
    <row r="110" spans="1:16" hidden="1">
      <c r="A110" s="90"/>
      <c r="B110" s="50" t="s">
        <v>373</v>
      </c>
      <c r="C110" s="51" t="s">
        <v>467</v>
      </c>
      <c r="D110" s="49"/>
      <c r="E110" s="49">
        <v>2</v>
      </c>
      <c r="F110" s="49"/>
      <c r="G110" s="56">
        <v>46406</v>
      </c>
      <c r="H110" s="110" t="s">
        <v>411</v>
      </c>
      <c r="I110" s="56">
        <v>46041</v>
      </c>
      <c r="J110" s="59">
        <f t="shared" si="3"/>
        <v>46392</v>
      </c>
      <c r="K110" s="80"/>
      <c r="L110" s="80">
        <v>4010373561</v>
      </c>
      <c r="M110" s="49" t="s">
        <v>468</v>
      </c>
      <c r="N110" s="49"/>
      <c r="O110" s="49"/>
      <c r="P110" s="93"/>
    </row>
    <row r="111" spans="1:16" hidden="1">
      <c r="A111" s="112"/>
      <c r="B111" s="54" t="s">
        <v>124</v>
      </c>
      <c r="C111" s="65" t="s">
        <v>469</v>
      </c>
      <c r="D111" s="66" t="s">
        <v>117</v>
      </c>
      <c r="E111" s="52">
        <v>5</v>
      </c>
      <c r="F111" s="66"/>
      <c r="G111" s="59">
        <v>46417</v>
      </c>
      <c r="H111" s="59" t="s">
        <v>411</v>
      </c>
      <c r="I111" s="59">
        <v>46052</v>
      </c>
      <c r="J111" s="59"/>
      <c r="K111" s="59"/>
      <c r="L111" s="79">
        <v>4010372598</v>
      </c>
      <c r="M111" s="52" t="s">
        <v>21</v>
      </c>
      <c r="N111" s="49" t="s">
        <v>426</v>
      </c>
      <c r="O111" s="52" t="s">
        <v>470</v>
      </c>
      <c r="P111" s="94" t="s">
        <v>471</v>
      </c>
    </row>
    <row r="112" spans="1:16" hidden="1">
      <c r="A112" s="90"/>
      <c r="B112" s="50" t="s">
        <v>227</v>
      </c>
      <c r="C112" s="65" t="s">
        <v>198</v>
      </c>
      <c r="D112" s="66" t="str">
        <f>SERTIFIKASI_ALAT[[#This Row],[DESCRIPTION]]</f>
        <v>RACK REPAIR HEAVY DUTY</v>
      </c>
      <c r="E112" s="49">
        <v>2.6</v>
      </c>
      <c r="F112" s="66"/>
      <c r="G112" s="61">
        <v>46430</v>
      </c>
      <c r="H112" s="59" t="s">
        <v>411</v>
      </c>
      <c r="I112" s="59">
        <v>46065</v>
      </c>
      <c r="J112" s="59">
        <f>G112-14</f>
        <v>46416</v>
      </c>
      <c r="K112" s="59"/>
      <c r="L112" s="59"/>
      <c r="M112" s="49" t="s">
        <v>448</v>
      </c>
      <c r="N112" s="49"/>
      <c r="O112" s="49"/>
      <c r="P112" s="93"/>
    </row>
    <row r="113" spans="1:16" hidden="1">
      <c r="A113" s="90"/>
      <c r="B113" s="50" t="s">
        <v>228</v>
      </c>
      <c r="C113" s="65" t="s">
        <v>198</v>
      </c>
      <c r="D113" s="66" t="str">
        <f>SERTIFIKASI_ALAT[[#This Row],[DESCRIPTION]]</f>
        <v>RACK REPAIR HEAVY DUTY</v>
      </c>
      <c r="E113" s="49">
        <v>2.6</v>
      </c>
      <c r="F113" s="66"/>
      <c r="G113" s="61">
        <v>46430</v>
      </c>
      <c r="H113" s="59" t="s">
        <v>411</v>
      </c>
      <c r="I113" s="59">
        <v>46065</v>
      </c>
      <c r="J113" s="59">
        <f>G113-14</f>
        <v>46416</v>
      </c>
      <c r="K113" s="59"/>
      <c r="L113" s="59"/>
      <c r="M113" s="49" t="s">
        <v>448</v>
      </c>
      <c r="N113" s="49"/>
      <c r="O113" s="49"/>
      <c r="P113" s="93"/>
    </row>
    <row r="114" spans="1:16" s="78" customFormat="1">
      <c r="A114" s="112"/>
      <c r="B114" s="54" t="s">
        <v>472</v>
      </c>
      <c r="C114" s="76" t="s">
        <v>139</v>
      </c>
      <c r="D114" s="66" t="str">
        <f>SERTIFIKASI_ALAT[[#This Row],[DESCRIPTION]]</f>
        <v>HAND PALLET</v>
      </c>
      <c r="E114" s="52">
        <v>3</v>
      </c>
      <c r="F114" s="52"/>
      <c r="G114" s="59">
        <v>46473</v>
      </c>
      <c r="H114" s="135" t="s">
        <v>409</v>
      </c>
      <c r="I114" s="59">
        <v>46108</v>
      </c>
      <c r="J114" s="59">
        <v>46085</v>
      </c>
      <c r="K114" s="79">
        <v>1010294957</v>
      </c>
      <c r="L114" s="79"/>
      <c r="M114" s="52" t="s">
        <v>418</v>
      </c>
      <c r="N114" s="52"/>
      <c r="O114" s="135" t="s">
        <v>403</v>
      </c>
      <c r="P114" s="92"/>
    </row>
    <row r="115" spans="1:16" hidden="1">
      <c r="A115" s="90"/>
      <c r="B115" s="62" t="s">
        <v>135</v>
      </c>
      <c r="C115" s="64" t="s">
        <v>136</v>
      </c>
      <c r="D115" s="66" t="str">
        <f>SERTIFIKASI_ALAT[[#This Row],[DESCRIPTION]]</f>
        <v>GANTRY CRANE</v>
      </c>
      <c r="E115" s="49">
        <v>5</v>
      </c>
      <c r="F115" s="66"/>
      <c r="G115" s="61">
        <v>46473</v>
      </c>
      <c r="H115" s="59" t="s">
        <v>411</v>
      </c>
      <c r="I115" s="59">
        <v>46108</v>
      </c>
      <c r="J115" s="59">
        <f t="shared" ref="J115:J123" si="4">G115-14</f>
        <v>46459</v>
      </c>
      <c r="K115" s="79">
        <v>1010294957</v>
      </c>
      <c r="L115" s="79">
        <v>4010376100</v>
      </c>
      <c r="M115" s="49" t="s">
        <v>473</v>
      </c>
      <c r="N115" s="49" t="s">
        <v>423</v>
      </c>
      <c r="O115" s="49"/>
      <c r="P115" s="95" t="s">
        <v>474</v>
      </c>
    </row>
    <row r="116" spans="1:16">
      <c r="A116" s="90"/>
      <c r="B116" s="50" t="s">
        <v>138</v>
      </c>
      <c r="C116" s="51" t="s">
        <v>475</v>
      </c>
      <c r="D116" s="66" t="s">
        <v>139</v>
      </c>
      <c r="E116" s="49">
        <v>1.5</v>
      </c>
      <c r="F116" s="49"/>
      <c r="G116" s="56">
        <v>46473</v>
      </c>
      <c r="H116" s="110" t="s">
        <v>411</v>
      </c>
      <c r="I116" s="56">
        <v>46108</v>
      </c>
      <c r="J116" s="59">
        <f t="shared" si="4"/>
        <v>46459</v>
      </c>
      <c r="K116" s="80">
        <v>1010294957</v>
      </c>
      <c r="L116" s="80"/>
      <c r="M116" s="49" t="s">
        <v>405</v>
      </c>
      <c r="N116" s="49"/>
      <c r="O116" s="49"/>
      <c r="P116" s="93"/>
    </row>
    <row r="117" spans="1:16">
      <c r="A117" s="90"/>
      <c r="B117" s="50" t="s">
        <v>140</v>
      </c>
      <c r="C117" s="51" t="s">
        <v>475</v>
      </c>
      <c r="D117" s="66" t="s">
        <v>139</v>
      </c>
      <c r="E117" s="49">
        <v>1.5</v>
      </c>
      <c r="F117" s="49"/>
      <c r="G117" s="56">
        <v>46473</v>
      </c>
      <c r="H117" s="110" t="s">
        <v>411</v>
      </c>
      <c r="I117" s="56">
        <v>46108</v>
      </c>
      <c r="J117" s="59">
        <f t="shared" si="4"/>
        <v>46459</v>
      </c>
      <c r="K117" s="80">
        <v>1010294957</v>
      </c>
      <c r="L117" s="80"/>
      <c r="M117" s="49" t="s">
        <v>405</v>
      </c>
      <c r="N117" s="49"/>
      <c r="O117" s="49"/>
      <c r="P117" s="93"/>
    </row>
    <row r="118" spans="1:16" s="78" customFormat="1" hidden="1">
      <c r="A118" s="90"/>
      <c r="B118" s="54" t="s">
        <v>65</v>
      </c>
      <c r="C118" s="65" t="s">
        <v>66</v>
      </c>
      <c r="D118" s="66" t="s">
        <v>66</v>
      </c>
      <c r="E118" s="49">
        <v>1</v>
      </c>
      <c r="F118" s="66"/>
      <c r="G118" s="61">
        <v>46577</v>
      </c>
      <c r="H118" s="59" t="s">
        <v>411</v>
      </c>
      <c r="I118" s="61">
        <v>46212</v>
      </c>
      <c r="J118" s="59">
        <f t="shared" si="4"/>
        <v>46563</v>
      </c>
      <c r="K118" s="59"/>
      <c r="L118" s="59"/>
      <c r="M118" s="49" t="s">
        <v>401</v>
      </c>
      <c r="N118" s="49"/>
      <c r="O118" s="49"/>
      <c r="P118" s="96" t="s">
        <v>476</v>
      </c>
    </row>
    <row r="119" spans="1:16" hidden="1">
      <c r="A119" s="90"/>
      <c r="B119" s="50" t="s">
        <v>126</v>
      </c>
      <c r="C119" s="64" t="s">
        <v>477</v>
      </c>
      <c r="D119" s="66" t="s">
        <v>117</v>
      </c>
      <c r="E119" s="49">
        <v>1.8</v>
      </c>
      <c r="F119" s="66"/>
      <c r="G119" s="61">
        <v>46612</v>
      </c>
      <c r="H119" s="59" t="s">
        <v>411</v>
      </c>
      <c r="I119" s="59">
        <v>46247</v>
      </c>
      <c r="J119" s="59">
        <f t="shared" si="4"/>
        <v>46598</v>
      </c>
      <c r="K119" s="79">
        <v>1010280232</v>
      </c>
      <c r="L119" s="79">
        <v>4010359799</v>
      </c>
      <c r="M119" s="49" t="s">
        <v>21</v>
      </c>
      <c r="N119" s="49" t="s">
        <v>478</v>
      </c>
      <c r="O119" s="49"/>
      <c r="P119" s="95" t="s">
        <v>126</v>
      </c>
    </row>
    <row r="120" spans="1:16" hidden="1">
      <c r="A120" s="90"/>
      <c r="B120" s="54" t="s">
        <v>267</v>
      </c>
      <c r="C120" s="76" t="s">
        <v>268</v>
      </c>
      <c r="D120" s="52" t="str">
        <f>SERTIFIKASI_ALAT[[#This Row],[DESCRIPTION]]</f>
        <v>STAND ASSEMBLY</v>
      </c>
      <c r="E120" s="52">
        <v>0.5</v>
      </c>
      <c r="F120" s="52"/>
      <c r="G120" s="59">
        <v>46612</v>
      </c>
      <c r="H120" s="61" t="s">
        <v>411</v>
      </c>
      <c r="I120" s="61">
        <v>46247</v>
      </c>
      <c r="J120" s="59">
        <f t="shared" si="4"/>
        <v>46598</v>
      </c>
      <c r="K120" s="79">
        <v>1010281980</v>
      </c>
      <c r="L120" s="79">
        <v>4010360257</v>
      </c>
      <c r="M120" s="52" t="s">
        <v>405</v>
      </c>
      <c r="N120" s="52"/>
      <c r="O120" s="52"/>
      <c r="P120" s="94" t="s">
        <v>479</v>
      </c>
    </row>
    <row r="121" spans="1:16" hidden="1">
      <c r="A121" s="90"/>
      <c r="B121" s="50" t="s">
        <v>69</v>
      </c>
      <c r="C121" s="65" t="s">
        <v>66</v>
      </c>
      <c r="D121" s="66" t="str">
        <f>SERTIFIKASI_ALAT[[#This Row],[DESCRIPTION]]</f>
        <v>EXTENSION FORKLIFT</v>
      </c>
      <c r="E121" s="49">
        <v>1</v>
      </c>
      <c r="F121" s="66"/>
      <c r="G121" s="61">
        <v>46612</v>
      </c>
      <c r="H121" s="59" t="s">
        <v>411</v>
      </c>
      <c r="I121" s="61">
        <v>46247</v>
      </c>
      <c r="J121" s="59">
        <f t="shared" si="4"/>
        <v>46598</v>
      </c>
      <c r="K121" s="59"/>
      <c r="L121" s="59"/>
      <c r="M121" s="49" t="s">
        <v>401</v>
      </c>
      <c r="N121" s="49"/>
      <c r="O121" s="49"/>
      <c r="P121" s="96" t="s">
        <v>480</v>
      </c>
    </row>
    <row r="122" spans="1:16" hidden="1">
      <c r="A122" s="90"/>
      <c r="B122" s="50" t="s">
        <v>242</v>
      </c>
      <c r="C122" s="65" t="s">
        <v>243</v>
      </c>
      <c r="D122" s="66" t="str">
        <f>SERTIFIKASI_ALAT[[#This Row],[DESCRIPTION]]</f>
        <v>ROLLOVER STAND</v>
      </c>
      <c r="E122" s="49">
        <v>2.5</v>
      </c>
      <c r="F122" s="66"/>
      <c r="G122" s="61">
        <v>46612</v>
      </c>
      <c r="H122" s="59" t="s">
        <v>411</v>
      </c>
      <c r="I122" s="61">
        <v>46247</v>
      </c>
      <c r="J122" s="59">
        <f t="shared" si="4"/>
        <v>46598</v>
      </c>
      <c r="K122" s="59"/>
      <c r="L122" s="59"/>
      <c r="M122" s="49" t="s">
        <v>481</v>
      </c>
      <c r="N122" s="49" t="s">
        <v>482</v>
      </c>
      <c r="O122" s="49"/>
      <c r="P122" s="95" t="s">
        <v>242</v>
      </c>
    </row>
    <row r="123" spans="1:16" hidden="1">
      <c r="A123" s="90"/>
      <c r="B123" s="50" t="s">
        <v>246</v>
      </c>
      <c r="C123" s="65" t="s">
        <v>243</v>
      </c>
      <c r="D123" s="66" t="str">
        <f>SERTIFIKASI_ALAT[[#This Row],[DESCRIPTION]]</f>
        <v>ROLLOVER STAND</v>
      </c>
      <c r="E123" s="49">
        <v>2.5</v>
      </c>
      <c r="F123" s="66"/>
      <c r="G123" s="61">
        <v>46612</v>
      </c>
      <c r="H123" s="59" t="s">
        <v>411</v>
      </c>
      <c r="I123" s="61">
        <v>46247</v>
      </c>
      <c r="J123" s="59">
        <f t="shared" si="4"/>
        <v>46598</v>
      </c>
      <c r="K123" s="59"/>
      <c r="L123" s="59"/>
      <c r="M123" s="49" t="s">
        <v>483</v>
      </c>
      <c r="N123" s="49" t="s">
        <v>482</v>
      </c>
      <c r="O123" s="49"/>
      <c r="P123" s="95" t="s">
        <v>246</v>
      </c>
    </row>
    <row r="124" spans="1:16">
      <c r="A124" s="112"/>
      <c r="B124" s="54" t="s">
        <v>141</v>
      </c>
      <c r="C124" s="65" t="s">
        <v>139</v>
      </c>
      <c r="D124" s="66" t="str">
        <f>SERTIFIKASI_ALAT[[#This Row],[DESCRIPTION]]</f>
        <v>HAND PALLET</v>
      </c>
      <c r="E124" s="52">
        <v>3</v>
      </c>
      <c r="F124" s="66"/>
      <c r="G124" s="61">
        <v>46612</v>
      </c>
      <c r="H124" s="59" t="s">
        <v>411</v>
      </c>
      <c r="I124" s="59">
        <v>46108</v>
      </c>
      <c r="J124" s="59">
        <v>46085</v>
      </c>
      <c r="K124" s="79">
        <v>1010294957</v>
      </c>
      <c r="L124" s="59"/>
      <c r="M124" s="52" t="s">
        <v>418</v>
      </c>
      <c r="N124" s="52"/>
      <c r="O124" s="52"/>
      <c r="P124" s="94" t="s">
        <v>484</v>
      </c>
    </row>
    <row r="125" spans="1:16">
      <c r="A125" s="90"/>
      <c r="B125" s="50" t="s">
        <v>143</v>
      </c>
      <c r="C125" s="51" t="s">
        <v>139</v>
      </c>
      <c r="D125" s="49" t="str">
        <f>SERTIFIKASI_ALAT[[#This Row],[DESCRIPTION]]</f>
        <v>HAND PALLET</v>
      </c>
      <c r="E125" s="49">
        <v>3</v>
      </c>
      <c r="F125" s="49"/>
      <c r="G125" s="61">
        <v>46612</v>
      </c>
      <c r="H125" s="59" t="s">
        <v>411</v>
      </c>
      <c r="I125" s="61">
        <v>46247</v>
      </c>
      <c r="J125" s="59">
        <f t="shared" ref="J125:J156" si="5">G125-14</f>
        <v>46598</v>
      </c>
      <c r="K125" s="79"/>
      <c r="L125" s="79"/>
      <c r="M125" s="49"/>
      <c r="N125" s="49"/>
      <c r="O125" s="49"/>
      <c r="P125" s="93"/>
    </row>
    <row r="126" spans="1:16">
      <c r="A126" s="90"/>
      <c r="B126" s="50" t="s">
        <v>145</v>
      </c>
      <c r="C126" s="51" t="s">
        <v>139</v>
      </c>
      <c r="D126" s="49" t="str">
        <f>SERTIFIKASI_ALAT[[#This Row],[DESCRIPTION]]</f>
        <v>HAND PALLET</v>
      </c>
      <c r="E126" s="75">
        <v>3</v>
      </c>
      <c r="F126" s="49"/>
      <c r="G126" s="61">
        <v>46612</v>
      </c>
      <c r="H126" s="59" t="s">
        <v>411</v>
      </c>
      <c r="I126" s="61">
        <v>46247</v>
      </c>
      <c r="J126" s="59">
        <f t="shared" si="5"/>
        <v>46598</v>
      </c>
      <c r="K126" s="79"/>
      <c r="L126" s="79"/>
      <c r="M126" s="49"/>
      <c r="N126" s="49"/>
      <c r="O126" s="49"/>
      <c r="P126" s="93"/>
    </row>
    <row r="127" spans="1:16">
      <c r="A127" s="90"/>
      <c r="B127" s="50" t="s">
        <v>147</v>
      </c>
      <c r="C127" s="51" t="s">
        <v>139</v>
      </c>
      <c r="D127" s="49" t="str">
        <f>SERTIFIKASI_ALAT[[#This Row],[DESCRIPTION]]</f>
        <v>HAND PALLET</v>
      </c>
      <c r="E127" s="49">
        <v>3</v>
      </c>
      <c r="F127" s="49"/>
      <c r="G127" s="61">
        <v>46612</v>
      </c>
      <c r="H127" s="59" t="s">
        <v>411</v>
      </c>
      <c r="I127" s="61">
        <v>46247</v>
      </c>
      <c r="J127" s="59">
        <f t="shared" si="5"/>
        <v>46598</v>
      </c>
      <c r="K127" s="79"/>
      <c r="L127" s="79"/>
      <c r="M127" s="49"/>
      <c r="N127" s="49"/>
      <c r="O127" s="49"/>
      <c r="P127" s="93"/>
    </row>
    <row r="128" spans="1:16" hidden="1">
      <c r="A128" s="90"/>
      <c r="B128" s="161" t="s">
        <v>163</v>
      </c>
      <c r="C128" s="51" t="s">
        <v>160</v>
      </c>
      <c r="D128" s="49" t="str">
        <f>SERTIFIKASI_ALAT[[#This Row],[DESCRIPTION]]</f>
        <v>JACK PRESS</v>
      </c>
      <c r="E128" s="49">
        <v>30</v>
      </c>
      <c r="F128" s="49"/>
      <c r="G128" s="56">
        <v>46631</v>
      </c>
      <c r="H128" s="59" t="s">
        <v>411</v>
      </c>
      <c r="I128" s="59">
        <v>46266</v>
      </c>
      <c r="J128" s="59">
        <f t="shared" si="5"/>
        <v>46617</v>
      </c>
      <c r="K128" s="79"/>
      <c r="L128" s="79">
        <v>4010392940</v>
      </c>
      <c r="M128" s="49" t="s">
        <v>405</v>
      </c>
      <c r="N128" s="49" t="s">
        <v>406</v>
      </c>
      <c r="O128" s="49"/>
      <c r="P128" s="95" t="s">
        <v>485</v>
      </c>
    </row>
    <row r="129" spans="1:16" hidden="1">
      <c r="A129" s="90"/>
      <c r="B129" s="161" t="s">
        <v>191</v>
      </c>
      <c r="C129" s="51" t="s">
        <v>192</v>
      </c>
      <c r="D129" s="49" t="str">
        <f>SERTIFIKASI_ALAT[[#This Row],[DESCRIPTION]]</f>
        <v>MAN LIFT</v>
      </c>
      <c r="E129" s="49">
        <v>0.2</v>
      </c>
      <c r="F129" s="49"/>
      <c r="G129" s="56">
        <v>46631</v>
      </c>
      <c r="H129" s="59" t="s">
        <v>411</v>
      </c>
      <c r="I129" s="59">
        <v>46266</v>
      </c>
      <c r="J129" s="59">
        <f t="shared" si="5"/>
        <v>46617</v>
      </c>
      <c r="K129" s="79"/>
      <c r="L129" s="79">
        <v>4010392940</v>
      </c>
      <c r="M129" s="49" t="s">
        <v>405</v>
      </c>
      <c r="N129" s="49" t="s">
        <v>486</v>
      </c>
      <c r="O129" s="49"/>
      <c r="P129" s="95" t="s">
        <v>487</v>
      </c>
    </row>
    <row r="130" spans="1:16" hidden="1">
      <c r="A130" s="90"/>
      <c r="B130" s="161" t="s">
        <v>339</v>
      </c>
      <c r="C130" s="51" t="s">
        <v>340</v>
      </c>
      <c r="D130" s="49" t="str">
        <f>SERTIFIKASI_ALAT[[#This Row],[DESCRIPTION]]</f>
        <v>STAND TEST BENCH FINAL DRIVE</v>
      </c>
      <c r="E130" s="49">
        <v>4</v>
      </c>
      <c r="F130" s="49"/>
      <c r="G130" s="56">
        <v>46631</v>
      </c>
      <c r="H130" s="59" t="s">
        <v>411</v>
      </c>
      <c r="I130" s="59">
        <v>46266</v>
      </c>
      <c r="J130" s="59">
        <f t="shared" si="5"/>
        <v>46617</v>
      </c>
      <c r="K130" s="79"/>
      <c r="L130" s="79">
        <v>4010392940</v>
      </c>
      <c r="M130" s="49" t="s">
        <v>488</v>
      </c>
      <c r="N130" s="49"/>
      <c r="O130" s="49"/>
      <c r="P130" s="93"/>
    </row>
    <row r="131" spans="1:16" hidden="1">
      <c r="A131" s="90"/>
      <c r="B131" s="161" t="s">
        <v>342</v>
      </c>
      <c r="C131" s="51" t="s">
        <v>340</v>
      </c>
      <c r="D131" s="49" t="str">
        <f>SERTIFIKASI_ALAT[[#This Row],[DESCRIPTION]]</f>
        <v>STAND TEST BENCH FINAL DRIVE</v>
      </c>
      <c r="E131" s="49">
        <v>4</v>
      </c>
      <c r="F131" s="49"/>
      <c r="G131" s="56">
        <v>46631</v>
      </c>
      <c r="H131" s="59" t="s">
        <v>411</v>
      </c>
      <c r="I131" s="59">
        <v>46266</v>
      </c>
      <c r="J131" s="59">
        <f t="shared" si="5"/>
        <v>46617</v>
      </c>
      <c r="K131" s="79"/>
      <c r="L131" s="49">
        <v>4010392940</v>
      </c>
      <c r="M131" s="49" t="s">
        <v>488</v>
      </c>
      <c r="N131" s="49"/>
      <c r="O131" s="49"/>
      <c r="P131" s="96"/>
    </row>
    <row r="132" spans="1:16" hidden="1">
      <c r="A132" s="90"/>
      <c r="B132" s="54" t="s">
        <v>367</v>
      </c>
      <c r="C132" s="51" t="s">
        <v>368</v>
      </c>
      <c r="D132" s="49" t="str">
        <f>SERTIFIKASI_ALAT[[#This Row],[DESCRIPTION]]</f>
        <v xml:space="preserve">TEST LEAKING CYLINDER HEAD </v>
      </c>
      <c r="E132" s="51"/>
      <c r="F132" s="49" t="s">
        <v>489</v>
      </c>
      <c r="G132" s="59">
        <v>46633</v>
      </c>
      <c r="H132" s="59" t="s">
        <v>411</v>
      </c>
      <c r="I132" s="59">
        <v>46268</v>
      </c>
      <c r="J132" s="59">
        <f t="shared" si="5"/>
        <v>46619</v>
      </c>
      <c r="K132" s="79"/>
      <c r="L132" s="49">
        <v>4010392940</v>
      </c>
      <c r="M132" s="49"/>
      <c r="N132" s="49"/>
      <c r="O132" s="49"/>
      <c r="P132" s="93"/>
    </row>
    <row r="133" spans="1:16" hidden="1">
      <c r="A133" s="90"/>
      <c r="B133" s="54" t="s">
        <v>164</v>
      </c>
      <c r="C133" s="76" t="s">
        <v>165</v>
      </c>
      <c r="D133" s="49" t="str">
        <f>SERTIFIKASI_ALAT[[#This Row],[DESCRIPTION]]</f>
        <v>LINK BRACKET</v>
      </c>
      <c r="E133" s="79">
        <v>1.0209999999999999</v>
      </c>
      <c r="F133" s="77" t="s">
        <v>490</v>
      </c>
      <c r="G133" s="59">
        <v>46633</v>
      </c>
      <c r="H133" s="61" t="s">
        <v>411</v>
      </c>
      <c r="I133" s="59">
        <v>46268</v>
      </c>
      <c r="J133" s="59">
        <f t="shared" si="5"/>
        <v>46619</v>
      </c>
      <c r="K133" s="79"/>
      <c r="L133" s="49">
        <v>4010392940</v>
      </c>
      <c r="M133" s="52" t="s">
        <v>394</v>
      </c>
      <c r="N133" s="52" t="s">
        <v>395</v>
      </c>
      <c r="O133" s="54" t="s">
        <v>491</v>
      </c>
      <c r="P133" s="92"/>
    </row>
    <row r="134" spans="1:16" hidden="1">
      <c r="A134" s="90"/>
      <c r="B134" s="54" t="s">
        <v>166</v>
      </c>
      <c r="C134" s="76" t="s">
        <v>165</v>
      </c>
      <c r="D134" s="49" t="str">
        <f>SERTIFIKASI_ALAT[[#This Row],[DESCRIPTION]]</f>
        <v>LINK BRACKET</v>
      </c>
      <c r="E134" s="79">
        <v>1.0209999999999999</v>
      </c>
      <c r="F134" s="77" t="s">
        <v>490</v>
      </c>
      <c r="G134" s="59">
        <v>46633</v>
      </c>
      <c r="H134" s="61" t="s">
        <v>411</v>
      </c>
      <c r="I134" s="59">
        <v>46268</v>
      </c>
      <c r="J134" s="59">
        <f t="shared" si="5"/>
        <v>46619</v>
      </c>
      <c r="K134" s="79"/>
      <c r="L134" s="49">
        <v>4010392940</v>
      </c>
      <c r="M134" s="52" t="s">
        <v>394</v>
      </c>
      <c r="N134" s="52" t="s">
        <v>395</v>
      </c>
      <c r="O134" s="54" t="s">
        <v>491</v>
      </c>
      <c r="P134" s="92"/>
    </row>
    <row r="135" spans="1:16" hidden="1">
      <c r="A135" s="90"/>
      <c r="B135" s="54" t="s">
        <v>167</v>
      </c>
      <c r="C135" s="76" t="s">
        <v>165</v>
      </c>
      <c r="D135" s="49" t="str">
        <f>SERTIFIKASI_ALAT[[#This Row],[DESCRIPTION]]</f>
        <v>LINK BRACKET</v>
      </c>
      <c r="E135" s="79">
        <v>1.0209999999999999</v>
      </c>
      <c r="F135" s="77" t="s">
        <v>490</v>
      </c>
      <c r="G135" s="59">
        <v>46633</v>
      </c>
      <c r="H135" s="61" t="s">
        <v>411</v>
      </c>
      <c r="I135" s="59">
        <v>46268</v>
      </c>
      <c r="J135" s="59">
        <f t="shared" si="5"/>
        <v>46619</v>
      </c>
      <c r="K135" s="79"/>
      <c r="L135" s="49">
        <v>4010392940</v>
      </c>
      <c r="M135" s="52" t="s">
        <v>394</v>
      </c>
      <c r="N135" s="52" t="s">
        <v>395</v>
      </c>
      <c r="O135" s="54" t="s">
        <v>491</v>
      </c>
      <c r="P135" s="92"/>
    </row>
    <row r="136" spans="1:16" hidden="1">
      <c r="A136" s="90"/>
      <c r="B136" s="54" t="s">
        <v>168</v>
      </c>
      <c r="C136" s="76" t="s">
        <v>165</v>
      </c>
      <c r="D136" s="49" t="str">
        <f>SERTIFIKASI_ALAT[[#This Row],[DESCRIPTION]]</f>
        <v>LINK BRACKET</v>
      </c>
      <c r="E136" s="79">
        <v>1.0209999999999999</v>
      </c>
      <c r="F136" s="77" t="s">
        <v>490</v>
      </c>
      <c r="G136" s="59">
        <v>46633</v>
      </c>
      <c r="H136" s="61" t="s">
        <v>411</v>
      </c>
      <c r="I136" s="59">
        <v>46268</v>
      </c>
      <c r="J136" s="59">
        <f t="shared" si="5"/>
        <v>46619</v>
      </c>
      <c r="K136" s="79"/>
      <c r="L136" s="49">
        <v>4010392940</v>
      </c>
      <c r="M136" s="52" t="s">
        <v>394</v>
      </c>
      <c r="N136" s="52" t="s">
        <v>395</v>
      </c>
      <c r="O136" s="54" t="s">
        <v>491</v>
      </c>
      <c r="P136" s="92"/>
    </row>
    <row r="137" spans="1:16" hidden="1">
      <c r="A137" s="90"/>
      <c r="B137" s="54" t="s">
        <v>169</v>
      </c>
      <c r="C137" s="76" t="s">
        <v>165</v>
      </c>
      <c r="D137" s="49" t="str">
        <f>SERTIFIKASI_ALAT[[#This Row],[DESCRIPTION]]</f>
        <v>LINK BRACKET</v>
      </c>
      <c r="E137" s="79">
        <v>1.8140000000000001</v>
      </c>
      <c r="F137" s="77" t="s">
        <v>492</v>
      </c>
      <c r="G137" s="59">
        <v>46633</v>
      </c>
      <c r="H137" s="61" t="s">
        <v>411</v>
      </c>
      <c r="I137" s="59">
        <v>46268</v>
      </c>
      <c r="J137" s="59">
        <f t="shared" si="5"/>
        <v>46619</v>
      </c>
      <c r="K137" s="79"/>
      <c r="L137" s="49">
        <v>4010392940</v>
      </c>
      <c r="M137" s="52" t="s">
        <v>394</v>
      </c>
      <c r="N137" s="52" t="s">
        <v>395</v>
      </c>
      <c r="O137" s="54" t="s">
        <v>491</v>
      </c>
      <c r="P137" s="92"/>
    </row>
    <row r="138" spans="1:16" hidden="1">
      <c r="A138" s="90"/>
      <c r="B138" s="54" t="s">
        <v>170</v>
      </c>
      <c r="C138" s="76" t="s">
        <v>165</v>
      </c>
      <c r="D138" s="49" t="str">
        <f>SERTIFIKASI_ALAT[[#This Row],[DESCRIPTION]]</f>
        <v>LINK BRACKET</v>
      </c>
      <c r="E138" s="79">
        <v>1.8140000000000001</v>
      </c>
      <c r="F138" s="77" t="s">
        <v>492</v>
      </c>
      <c r="G138" s="59">
        <v>46633</v>
      </c>
      <c r="H138" s="61" t="s">
        <v>411</v>
      </c>
      <c r="I138" s="59">
        <v>46268</v>
      </c>
      <c r="J138" s="59">
        <f t="shared" si="5"/>
        <v>46619</v>
      </c>
      <c r="K138" s="79"/>
      <c r="L138" s="49">
        <v>4010392940</v>
      </c>
      <c r="M138" s="52" t="s">
        <v>394</v>
      </c>
      <c r="N138" s="52" t="s">
        <v>395</v>
      </c>
      <c r="O138" s="54" t="s">
        <v>491</v>
      </c>
      <c r="P138" s="92"/>
    </row>
    <row r="139" spans="1:16" hidden="1">
      <c r="A139" s="90"/>
      <c r="B139" s="54" t="s">
        <v>171</v>
      </c>
      <c r="C139" s="76" t="s">
        <v>165</v>
      </c>
      <c r="D139" s="49" t="str">
        <f>SERTIFIKASI_ALAT[[#This Row],[DESCRIPTION]]</f>
        <v>LINK BRACKET</v>
      </c>
      <c r="E139" s="79">
        <v>1.8140000000000001</v>
      </c>
      <c r="F139" s="77" t="s">
        <v>492</v>
      </c>
      <c r="G139" s="59">
        <v>46633</v>
      </c>
      <c r="H139" s="61" t="s">
        <v>411</v>
      </c>
      <c r="I139" s="59">
        <v>46268</v>
      </c>
      <c r="J139" s="59">
        <f t="shared" si="5"/>
        <v>46619</v>
      </c>
      <c r="K139" s="79"/>
      <c r="L139" s="49">
        <v>4010392940</v>
      </c>
      <c r="M139" s="52" t="s">
        <v>394</v>
      </c>
      <c r="N139" s="52" t="s">
        <v>395</v>
      </c>
      <c r="O139" s="54" t="s">
        <v>491</v>
      </c>
      <c r="P139" s="92"/>
    </row>
    <row r="140" spans="1:16" hidden="1">
      <c r="A140" s="90"/>
      <c r="B140" s="54" t="s">
        <v>172</v>
      </c>
      <c r="C140" s="76" t="s">
        <v>165</v>
      </c>
      <c r="D140" s="49" t="str">
        <f>SERTIFIKASI_ALAT[[#This Row],[DESCRIPTION]]</f>
        <v>LINK BRACKET</v>
      </c>
      <c r="E140" s="79">
        <v>1.8140000000000001</v>
      </c>
      <c r="F140" s="77" t="s">
        <v>492</v>
      </c>
      <c r="G140" s="59">
        <v>46633</v>
      </c>
      <c r="H140" s="61" t="s">
        <v>411</v>
      </c>
      <c r="I140" s="59">
        <v>46268</v>
      </c>
      <c r="J140" s="59">
        <f t="shared" si="5"/>
        <v>46619</v>
      </c>
      <c r="K140" s="79"/>
      <c r="L140" s="49">
        <v>4010392940</v>
      </c>
      <c r="M140" s="52" t="s">
        <v>394</v>
      </c>
      <c r="N140" s="52" t="s">
        <v>395</v>
      </c>
      <c r="O140" s="54" t="s">
        <v>491</v>
      </c>
      <c r="P140" s="92"/>
    </row>
    <row r="141" spans="1:16" hidden="1">
      <c r="A141" s="90"/>
      <c r="B141" s="54" t="s">
        <v>173</v>
      </c>
      <c r="C141" s="76" t="s">
        <v>165</v>
      </c>
      <c r="D141" s="49" t="str">
        <f>SERTIFIKASI_ALAT[[#This Row],[DESCRIPTION]]</f>
        <v>LINK BRACKET</v>
      </c>
      <c r="E141" s="79">
        <v>1.8140000000000001</v>
      </c>
      <c r="F141" s="77" t="s">
        <v>492</v>
      </c>
      <c r="G141" s="59">
        <v>46633</v>
      </c>
      <c r="H141" s="61" t="s">
        <v>411</v>
      </c>
      <c r="I141" s="59">
        <v>46268</v>
      </c>
      <c r="J141" s="59">
        <f t="shared" si="5"/>
        <v>46619</v>
      </c>
      <c r="K141" s="79"/>
      <c r="L141" s="49">
        <v>4010392940</v>
      </c>
      <c r="M141" s="52" t="s">
        <v>394</v>
      </c>
      <c r="N141" s="52" t="s">
        <v>395</v>
      </c>
      <c r="O141" s="54" t="s">
        <v>491</v>
      </c>
      <c r="P141" s="92"/>
    </row>
    <row r="142" spans="1:16" hidden="1">
      <c r="A142" s="90"/>
      <c r="B142" s="54" t="s">
        <v>174</v>
      </c>
      <c r="C142" s="76" t="s">
        <v>165</v>
      </c>
      <c r="D142" s="49" t="str">
        <f>SERTIFIKASI_ALAT[[#This Row],[DESCRIPTION]]</f>
        <v>LINK BRACKET</v>
      </c>
      <c r="E142" s="79">
        <v>1.8140000000000001</v>
      </c>
      <c r="F142" s="77" t="s">
        <v>492</v>
      </c>
      <c r="G142" s="59">
        <v>46633</v>
      </c>
      <c r="H142" s="61" t="s">
        <v>411</v>
      </c>
      <c r="I142" s="59">
        <v>46268</v>
      </c>
      <c r="J142" s="59">
        <f t="shared" si="5"/>
        <v>46619</v>
      </c>
      <c r="K142" s="79"/>
      <c r="L142" s="49">
        <v>4010392940</v>
      </c>
      <c r="M142" s="52" t="s">
        <v>394</v>
      </c>
      <c r="N142" s="52" t="s">
        <v>395</v>
      </c>
      <c r="O142" s="54" t="s">
        <v>491</v>
      </c>
      <c r="P142" s="92"/>
    </row>
    <row r="143" spans="1:16" hidden="1">
      <c r="A143" s="90"/>
      <c r="B143" s="54" t="s">
        <v>175</v>
      </c>
      <c r="C143" s="76" t="s">
        <v>165</v>
      </c>
      <c r="D143" s="49" t="str">
        <f>SERTIFIKASI_ALAT[[#This Row],[DESCRIPTION]]</f>
        <v>LINK BRACKET</v>
      </c>
      <c r="E143" s="79">
        <v>1.8140000000000001</v>
      </c>
      <c r="F143" s="77" t="s">
        <v>492</v>
      </c>
      <c r="G143" s="59">
        <v>46633</v>
      </c>
      <c r="H143" s="61" t="s">
        <v>411</v>
      </c>
      <c r="I143" s="59">
        <v>46268</v>
      </c>
      <c r="J143" s="59">
        <f t="shared" si="5"/>
        <v>46619</v>
      </c>
      <c r="K143" s="79"/>
      <c r="L143" s="49">
        <v>4010392940</v>
      </c>
      <c r="M143" s="52" t="s">
        <v>394</v>
      </c>
      <c r="N143" s="52" t="s">
        <v>395</v>
      </c>
      <c r="O143" s="54" t="s">
        <v>491</v>
      </c>
      <c r="P143" s="92"/>
    </row>
    <row r="144" spans="1:16" hidden="1">
      <c r="A144" s="90"/>
      <c r="B144" s="54" t="s">
        <v>176</v>
      </c>
      <c r="C144" s="76" t="s">
        <v>165</v>
      </c>
      <c r="D144" s="49" t="str">
        <f>SERTIFIKASI_ALAT[[#This Row],[DESCRIPTION]]</f>
        <v>LINK BRACKET</v>
      </c>
      <c r="E144" s="79">
        <v>4.0819999999999999</v>
      </c>
      <c r="F144" s="77" t="s">
        <v>493</v>
      </c>
      <c r="G144" s="59">
        <v>46633</v>
      </c>
      <c r="H144" s="61" t="s">
        <v>411</v>
      </c>
      <c r="I144" s="59">
        <v>46268</v>
      </c>
      <c r="J144" s="59">
        <f t="shared" si="5"/>
        <v>46619</v>
      </c>
      <c r="K144" s="79"/>
      <c r="L144" s="49">
        <v>4010392940</v>
      </c>
      <c r="M144" s="52" t="s">
        <v>394</v>
      </c>
      <c r="N144" s="52" t="s">
        <v>395</v>
      </c>
      <c r="O144" s="54" t="s">
        <v>491</v>
      </c>
      <c r="P144" s="92"/>
    </row>
    <row r="145" spans="1:16" hidden="1">
      <c r="A145" s="90"/>
      <c r="B145" s="54" t="s">
        <v>177</v>
      </c>
      <c r="C145" s="76" t="s">
        <v>165</v>
      </c>
      <c r="D145" s="49" t="str">
        <f>SERTIFIKASI_ALAT[[#This Row],[DESCRIPTION]]</f>
        <v>LINK BRACKET</v>
      </c>
      <c r="E145" s="79">
        <v>4.0819999999999999</v>
      </c>
      <c r="F145" s="77" t="s">
        <v>493</v>
      </c>
      <c r="G145" s="59">
        <v>46633</v>
      </c>
      <c r="H145" s="61" t="s">
        <v>411</v>
      </c>
      <c r="I145" s="59">
        <v>46268</v>
      </c>
      <c r="J145" s="59">
        <f t="shared" si="5"/>
        <v>46619</v>
      </c>
      <c r="K145" s="79"/>
      <c r="L145" s="49">
        <v>4010392940</v>
      </c>
      <c r="M145" s="52" t="s">
        <v>394</v>
      </c>
      <c r="N145" s="52" t="s">
        <v>395</v>
      </c>
      <c r="O145" s="54" t="s">
        <v>491</v>
      </c>
      <c r="P145" s="92"/>
    </row>
    <row r="146" spans="1:16" hidden="1">
      <c r="A146" s="90"/>
      <c r="B146" s="54" t="s">
        <v>178</v>
      </c>
      <c r="C146" s="76" t="s">
        <v>165</v>
      </c>
      <c r="D146" s="49" t="str">
        <f>SERTIFIKASI_ALAT[[#This Row],[DESCRIPTION]]</f>
        <v>LINK BRACKET</v>
      </c>
      <c r="E146" s="79">
        <v>4.0819999999999999</v>
      </c>
      <c r="F146" s="77" t="s">
        <v>493</v>
      </c>
      <c r="G146" s="59">
        <v>46633</v>
      </c>
      <c r="H146" s="61" t="s">
        <v>411</v>
      </c>
      <c r="I146" s="59">
        <v>46268</v>
      </c>
      <c r="J146" s="59">
        <f t="shared" si="5"/>
        <v>46619</v>
      </c>
      <c r="K146" s="79"/>
      <c r="L146" s="49">
        <v>4010392940</v>
      </c>
      <c r="M146" s="52" t="s">
        <v>394</v>
      </c>
      <c r="N146" s="52" t="s">
        <v>395</v>
      </c>
      <c r="O146" s="54" t="s">
        <v>491</v>
      </c>
      <c r="P146" s="92"/>
    </row>
    <row r="147" spans="1:16" hidden="1">
      <c r="A147" s="90"/>
      <c r="B147" s="54" t="s">
        <v>179</v>
      </c>
      <c r="C147" s="76" t="s">
        <v>165</v>
      </c>
      <c r="D147" s="49" t="str">
        <f>SERTIFIKASI_ALAT[[#This Row],[DESCRIPTION]]</f>
        <v>LINK BRACKET</v>
      </c>
      <c r="E147" s="79">
        <v>4.0819999999999999</v>
      </c>
      <c r="F147" s="77" t="s">
        <v>493</v>
      </c>
      <c r="G147" s="59">
        <v>46633</v>
      </c>
      <c r="H147" s="61" t="s">
        <v>411</v>
      </c>
      <c r="I147" s="59">
        <v>46268</v>
      </c>
      <c r="J147" s="59">
        <f t="shared" si="5"/>
        <v>46619</v>
      </c>
      <c r="K147" s="79"/>
      <c r="L147" s="49">
        <v>4010392940</v>
      </c>
      <c r="M147" s="52" t="s">
        <v>394</v>
      </c>
      <c r="N147" s="52" t="s">
        <v>395</v>
      </c>
      <c r="O147" s="54" t="s">
        <v>491</v>
      </c>
      <c r="P147" s="92"/>
    </row>
    <row r="148" spans="1:16" hidden="1">
      <c r="A148" s="90"/>
      <c r="B148" s="54" t="s">
        <v>180</v>
      </c>
      <c r="C148" s="76" t="s">
        <v>165</v>
      </c>
      <c r="D148" s="49" t="str">
        <f>SERTIFIKASI_ALAT[[#This Row],[DESCRIPTION]]</f>
        <v>LINK BRACKET</v>
      </c>
      <c r="E148" s="79">
        <v>4.0819999999999999</v>
      </c>
      <c r="F148" s="77" t="s">
        <v>493</v>
      </c>
      <c r="G148" s="59">
        <v>46633</v>
      </c>
      <c r="H148" s="61" t="s">
        <v>411</v>
      </c>
      <c r="I148" s="59">
        <v>46268</v>
      </c>
      <c r="J148" s="59">
        <f t="shared" si="5"/>
        <v>46619</v>
      </c>
      <c r="K148" s="79"/>
      <c r="L148" s="49">
        <v>4010392940</v>
      </c>
      <c r="M148" s="52" t="s">
        <v>394</v>
      </c>
      <c r="N148" s="52" t="s">
        <v>395</v>
      </c>
      <c r="O148" s="54" t="s">
        <v>491</v>
      </c>
      <c r="P148" s="92"/>
    </row>
    <row r="149" spans="1:16" hidden="1">
      <c r="A149" s="90"/>
      <c r="B149" s="54" t="s">
        <v>181</v>
      </c>
      <c r="C149" s="76" t="s">
        <v>165</v>
      </c>
      <c r="D149" s="49" t="str">
        <f>SERTIFIKASI_ALAT[[#This Row],[DESCRIPTION]]</f>
        <v>LINK BRACKET</v>
      </c>
      <c r="E149" s="79">
        <v>4.0819999999999999</v>
      </c>
      <c r="F149" s="77" t="s">
        <v>494</v>
      </c>
      <c r="G149" s="59">
        <v>46633</v>
      </c>
      <c r="H149" s="61" t="s">
        <v>411</v>
      </c>
      <c r="I149" s="59">
        <v>46268</v>
      </c>
      <c r="J149" s="59">
        <f t="shared" si="5"/>
        <v>46619</v>
      </c>
      <c r="K149" s="79"/>
      <c r="L149" s="49">
        <v>4010392940</v>
      </c>
      <c r="M149" s="52" t="s">
        <v>394</v>
      </c>
      <c r="N149" s="52" t="s">
        <v>395</v>
      </c>
      <c r="O149" s="54" t="s">
        <v>491</v>
      </c>
      <c r="P149" s="92"/>
    </row>
    <row r="150" spans="1:16" hidden="1">
      <c r="A150" s="90"/>
      <c r="B150" s="54" t="s">
        <v>182</v>
      </c>
      <c r="C150" s="76" t="s">
        <v>165</v>
      </c>
      <c r="D150" s="49" t="str">
        <f>SERTIFIKASI_ALAT[[#This Row],[DESCRIPTION]]</f>
        <v>LINK BRACKET</v>
      </c>
      <c r="E150" s="79">
        <v>4.0819999999999999</v>
      </c>
      <c r="F150" s="77" t="s">
        <v>494</v>
      </c>
      <c r="G150" s="59">
        <v>46633</v>
      </c>
      <c r="H150" s="61" t="s">
        <v>411</v>
      </c>
      <c r="I150" s="59">
        <v>46268</v>
      </c>
      <c r="J150" s="59">
        <f t="shared" si="5"/>
        <v>46619</v>
      </c>
      <c r="K150" s="79"/>
      <c r="L150" s="49">
        <v>4010392940</v>
      </c>
      <c r="M150" s="52" t="s">
        <v>394</v>
      </c>
      <c r="N150" s="52" t="s">
        <v>395</v>
      </c>
      <c r="O150" s="54" t="s">
        <v>491</v>
      </c>
      <c r="P150" s="92"/>
    </row>
    <row r="151" spans="1:16" hidden="1">
      <c r="A151" s="90"/>
      <c r="B151" s="54" t="s">
        <v>183</v>
      </c>
      <c r="C151" s="76" t="s">
        <v>165</v>
      </c>
      <c r="D151" s="49" t="str">
        <f>SERTIFIKASI_ALAT[[#This Row],[DESCRIPTION]]</f>
        <v>LINK BRACKET</v>
      </c>
      <c r="E151" s="79">
        <v>4.0819999999999999</v>
      </c>
      <c r="F151" s="77" t="s">
        <v>494</v>
      </c>
      <c r="G151" s="59">
        <v>46633</v>
      </c>
      <c r="H151" s="61" t="s">
        <v>411</v>
      </c>
      <c r="I151" s="59">
        <v>46268</v>
      </c>
      <c r="J151" s="59">
        <f t="shared" si="5"/>
        <v>46619</v>
      </c>
      <c r="K151" s="79"/>
      <c r="L151" s="49">
        <v>4010392940</v>
      </c>
      <c r="M151" s="52" t="s">
        <v>394</v>
      </c>
      <c r="N151" s="52" t="s">
        <v>395</v>
      </c>
      <c r="O151" s="54" t="s">
        <v>491</v>
      </c>
      <c r="P151" s="92"/>
    </row>
    <row r="152" spans="1:16" hidden="1">
      <c r="A152" s="90"/>
      <c r="B152" s="54" t="s">
        <v>184</v>
      </c>
      <c r="C152" s="76" t="s">
        <v>165</v>
      </c>
      <c r="D152" s="49" t="str">
        <f>SERTIFIKASI_ALAT[[#This Row],[DESCRIPTION]]</f>
        <v>LINK BRACKET</v>
      </c>
      <c r="E152" s="79">
        <v>4.0819999999999999</v>
      </c>
      <c r="F152" s="77" t="s">
        <v>494</v>
      </c>
      <c r="G152" s="59">
        <v>46633</v>
      </c>
      <c r="H152" s="61" t="s">
        <v>411</v>
      </c>
      <c r="I152" s="59">
        <v>46268</v>
      </c>
      <c r="J152" s="59">
        <f t="shared" si="5"/>
        <v>46619</v>
      </c>
      <c r="K152" s="79"/>
      <c r="L152" s="49">
        <v>4010392940</v>
      </c>
      <c r="M152" s="52" t="s">
        <v>394</v>
      </c>
      <c r="N152" s="52" t="s">
        <v>395</v>
      </c>
      <c r="O152" s="54" t="s">
        <v>491</v>
      </c>
      <c r="P152" s="92"/>
    </row>
    <row r="153" spans="1:16" hidden="1">
      <c r="A153" s="90"/>
      <c r="B153" s="54" t="s">
        <v>185</v>
      </c>
      <c r="C153" s="76" t="s">
        <v>165</v>
      </c>
      <c r="D153" s="49" t="str">
        <f>SERTIFIKASI_ALAT[[#This Row],[DESCRIPTION]]</f>
        <v>LINK BRACKET</v>
      </c>
      <c r="E153" s="79">
        <v>4.0819999999999999</v>
      </c>
      <c r="F153" s="77" t="s">
        <v>494</v>
      </c>
      <c r="G153" s="59">
        <v>46633</v>
      </c>
      <c r="H153" s="61" t="s">
        <v>411</v>
      </c>
      <c r="I153" s="59">
        <v>46268</v>
      </c>
      <c r="J153" s="59">
        <f t="shared" si="5"/>
        <v>46619</v>
      </c>
      <c r="K153" s="79"/>
      <c r="L153" s="49">
        <v>4010392940</v>
      </c>
      <c r="M153" s="52" t="s">
        <v>394</v>
      </c>
      <c r="N153" s="52" t="s">
        <v>395</v>
      </c>
      <c r="O153" s="54" t="s">
        <v>491</v>
      </c>
      <c r="P153" s="92"/>
    </row>
    <row r="154" spans="1:16" hidden="1">
      <c r="A154" s="90"/>
      <c r="B154" s="54" t="s">
        <v>186</v>
      </c>
      <c r="C154" s="76" t="s">
        <v>165</v>
      </c>
      <c r="D154" s="49" t="str">
        <f>SERTIFIKASI_ALAT[[#This Row],[DESCRIPTION]]</f>
        <v>LINK BRACKET</v>
      </c>
      <c r="E154" s="79">
        <v>4.0819999999999999</v>
      </c>
      <c r="F154" s="77" t="s">
        <v>494</v>
      </c>
      <c r="G154" s="59">
        <v>46633</v>
      </c>
      <c r="H154" s="61" t="s">
        <v>411</v>
      </c>
      <c r="I154" s="59">
        <v>46268</v>
      </c>
      <c r="J154" s="59">
        <f t="shared" si="5"/>
        <v>46619</v>
      </c>
      <c r="K154" s="79"/>
      <c r="L154" s="49">
        <v>4010392940</v>
      </c>
      <c r="M154" s="52" t="s">
        <v>394</v>
      </c>
      <c r="N154" s="52" t="s">
        <v>395</v>
      </c>
      <c r="O154" s="54" t="s">
        <v>491</v>
      </c>
      <c r="P154" s="92"/>
    </row>
    <row r="155" spans="1:16" hidden="1">
      <c r="A155" s="90"/>
      <c r="B155" s="54" t="s">
        <v>72</v>
      </c>
      <c r="C155" s="76" t="s">
        <v>73</v>
      </c>
      <c r="D155" s="49" t="str">
        <f>SERTIFIKASI_ALAT[[#This Row],[DESCRIPTION]]</f>
        <v>EYE BOLT</v>
      </c>
      <c r="E155" s="52">
        <v>0.15</v>
      </c>
      <c r="F155" s="77" t="s">
        <v>490</v>
      </c>
      <c r="G155" s="59">
        <v>46633</v>
      </c>
      <c r="H155" s="61" t="s">
        <v>411</v>
      </c>
      <c r="I155" s="59">
        <v>46268</v>
      </c>
      <c r="J155" s="59">
        <f t="shared" si="5"/>
        <v>46619</v>
      </c>
      <c r="K155" s="79"/>
      <c r="L155" s="49">
        <v>4010392940</v>
      </c>
      <c r="M155" s="52" t="s">
        <v>394</v>
      </c>
      <c r="N155" s="52" t="s">
        <v>495</v>
      </c>
      <c r="O155" s="54" t="s">
        <v>496</v>
      </c>
      <c r="P155" s="92"/>
    </row>
    <row r="156" spans="1:16" hidden="1">
      <c r="A156" s="90"/>
      <c r="B156" s="54" t="s">
        <v>75</v>
      </c>
      <c r="C156" s="76" t="s">
        <v>73</v>
      </c>
      <c r="D156" s="49" t="str">
        <f>SERTIFIKASI_ALAT[[#This Row],[DESCRIPTION]]</f>
        <v>EYE BOLT</v>
      </c>
      <c r="E156" s="52">
        <v>0.15</v>
      </c>
      <c r="F156" s="77" t="s">
        <v>490</v>
      </c>
      <c r="G156" s="59">
        <v>46633</v>
      </c>
      <c r="H156" s="61" t="s">
        <v>411</v>
      </c>
      <c r="I156" s="59">
        <v>46268</v>
      </c>
      <c r="J156" s="59">
        <f t="shared" si="5"/>
        <v>46619</v>
      </c>
      <c r="K156" s="79"/>
      <c r="L156" s="49">
        <v>4010392940</v>
      </c>
      <c r="M156" s="52" t="s">
        <v>394</v>
      </c>
      <c r="N156" s="52" t="s">
        <v>495</v>
      </c>
      <c r="O156" s="54" t="s">
        <v>496</v>
      </c>
      <c r="P156" s="92"/>
    </row>
    <row r="157" spans="1:16" hidden="1">
      <c r="A157" s="90"/>
      <c r="B157" s="54" t="s">
        <v>76</v>
      </c>
      <c r="C157" s="76" t="s">
        <v>73</v>
      </c>
      <c r="D157" s="49" t="str">
        <f>SERTIFIKASI_ALAT[[#This Row],[DESCRIPTION]]</f>
        <v>EYE BOLT</v>
      </c>
      <c r="E157" s="52">
        <v>0.15</v>
      </c>
      <c r="F157" s="77" t="s">
        <v>490</v>
      </c>
      <c r="G157" s="59">
        <v>46633</v>
      </c>
      <c r="H157" s="61" t="s">
        <v>411</v>
      </c>
      <c r="I157" s="59">
        <v>46268</v>
      </c>
      <c r="J157" s="59">
        <f t="shared" ref="J157:J188" si="6">G157-14</f>
        <v>46619</v>
      </c>
      <c r="K157" s="79"/>
      <c r="L157" s="49">
        <v>4010392940</v>
      </c>
      <c r="M157" s="52" t="s">
        <v>394</v>
      </c>
      <c r="N157" s="52" t="s">
        <v>495</v>
      </c>
      <c r="O157" s="54" t="s">
        <v>496</v>
      </c>
      <c r="P157" s="92"/>
    </row>
    <row r="158" spans="1:16" hidden="1">
      <c r="A158" s="90"/>
      <c r="B158" s="54" t="s">
        <v>77</v>
      </c>
      <c r="C158" s="76" t="s">
        <v>73</v>
      </c>
      <c r="D158" s="49" t="str">
        <f>SERTIFIKASI_ALAT[[#This Row],[DESCRIPTION]]</f>
        <v>EYE BOLT</v>
      </c>
      <c r="E158" s="52">
        <v>0.15</v>
      </c>
      <c r="F158" s="77" t="s">
        <v>490</v>
      </c>
      <c r="G158" s="59">
        <v>46633</v>
      </c>
      <c r="H158" s="61" t="s">
        <v>411</v>
      </c>
      <c r="I158" s="59">
        <v>46268</v>
      </c>
      <c r="J158" s="59">
        <f t="shared" si="6"/>
        <v>46619</v>
      </c>
      <c r="K158" s="79"/>
      <c r="L158" s="49">
        <v>4010392940</v>
      </c>
      <c r="M158" s="52" t="s">
        <v>394</v>
      </c>
      <c r="N158" s="52" t="s">
        <v>495</v>
      </c>
      <c r="O158" s="54" t="s">
        <v>496</v>
      </c>
      <c r="P158" s="92"/>
    </row>
    <row r="159" spans="1:16" hidden="1">
      <c r="A159" s="90"/>
      <c r="B159" s="54" t="s">
        <v>78</v>
      </c>
      <c r="C159" s="76" t="s">
        <v>73</v>
      </c>
      <c r="D159" s="49" t="str">
        <f>SERTIFIKASI_ALAT[[#This Row],[DESCRIPTION]]</f>
        <v>EYE BOLT</v>
      </c>
      <c r="E159" s="52">
        <v>0.15</v>
      </c>
      <c r="F159" s="52" t="s">
        <v>497</v>
      </c>
      <c r="G159" s="59">
        <v>46633</v>
      </c>
      <c r="H159" s="61" t="s">
        <v>411</v>
      </c>
      <c r="I159" s="59">
        <v>46268</v>
      </c>
      <c r="J159" s="59">
        <f t="shared" si="6"/>
        <v>46619</v>
      </c>
      <c r="K159" s="79"/>
      <c r="L159" s="49">
        <v>4010392940</v>
      </c>
      <c r="M159" s="52" t="s">
        <v>394</v>
      </c>
      <c r="N159" s="52" t="s">
        <v>495</v>
      </c>
      <c r="O159" s="54" t="s">
        <v>496</v>
      </c>
      <c r="P159" s="92"/>
    </row>
    <row r="160" spans="1:16" hidden="1">
      <c r="A160" s="90"/>
      <c r="B160" s="54" t="s">
        <v>79</v>
      </c>
      <c r="C160" s="76" t="s">
        <v>73</v>
      </c>
      <c r="D160" s="49" t="str">
        <f>SERTIFIKASI_ALAT[[#This Row],[DESCRIPTION]]</f>
        <v>EYE BOLT</v>
      </c>
      <c r="E160" s="52">
        <v>0.15</v>
      </c>
      <c r="F160" s="52" t="s">
        <v>497</v>
      </c>
      <c r="G160" s="59">
        <v>46633</v>
      </c>
      <c r="H160" s="61" t="s">
        <v>411</v>
      </c>
      <c r="I160" s="59">
        <v>46268</v>
      </c>
      <c r="J160" s="59">
        <f t="shared" si="6"/>
        <v>46619</v>
      </c>
      <c r="K160" s="79"/>
      <c r="L160" s="49">
        <v>4010392940</v>
      </c>
      <c r="M160" s="52" t="s">
        <v>394</v>
      </c>
      <c r="N160" s="52" t="s">
        <v>495</v>
      </c>
      <c r="O160" s="54" t="s">
        <v>496</v>
      </c>
      <c r="P160" s="92"/>
    </row>
    <row r="161" spans="1:16" hidden="1">
      <c r="A161" s="90"/>
      <c r="B161" s="54" t="s">
        <v>80</v>
      </c>
      <c r="C161" s="76" t="s">
        <v>73</v>
      </c>
      <c r="D161" s="49" t="str">
        <f>SERTIFIKASI_ALAT[[#This Row],[DESCRIPTION]]</f>
        <v>EYE BOLT</v>
      </c>
      <c r="E161" s="52">
        <v>0.15</v>
      </c>
      <c r="F161" s="52" t="s">
        <v>497</v>
      </c>
      <c r="G161" s="59">
        <v>46633</v>
      </c>
      <c r="H161" s="61" t="s">
        <v>411</v>
      </c>
      <c r="I161" s="59">
        <v>46268</v>
      </c>
      <c r="J161" s="59">
        <f t="shared" si="6"/>
        <v>46619</v>
      </c>
      <c r="K161" s="79"/>
      <c r="L161" s="49">
        <v>4010392940</v>
      </c>
      <c r="M161" s="52" t="s">
        <v>394</v>
      </c>
      <c r="N161" s="52" t="s">
        <v>495</v>
      </c>
      <c r="O161" s="54" t="s">
        <v>496</v>
      </c>
      <c r="P161" s="92"/>
    </row>
    <row r="162" spans="1:16" hidden="1">
      <c r="A162" s="90"/>
      <c r="B162" s="54" t="s">
        <v>81</v>
      </c>
      <c r="C162" s="76" t="s">
        <v>73</v>
      </c>
      <c r="D162" s="49" t="str">
        <f>SERTIFIKASI_ALAT[[#This Row],[DESCRIPTION]]</f>
        <v>EYE BOLT</v>
      </c>
      <c r="E162" s="52">
        <v>0.22</v>
      </c>
      <c r="F162" s="52" t="s">
        <v>498</v>
      </c>
      <c r="G162" s="59">
        <v>46633</v>
      </c>
      <c r="H162" s="61" t="s">
        <v>411</v>
      </c>
      <c r="I162" s="59">
        <v>46268</v>
      </c>
      <c r="J162" s="59">
        <f t="shared" si="6"/>
        <v>46619</v>
      </c>
      <c r="K162" s="79"/>
      <c r="L162" s="49">
        <v>4010392940</v>
      </c>
      <c r="M162" s="52" t="s">
        <v>394</v>
      </c>
      <c r="N162" s="52" t="s">
        <v>495</v>
      </c>
      <c r="O162" s="54" t="s">
        <v>496</v>
      </c>
      <c r="P162" s="92"/>
    </row>
    <row r="163" spans="1:16" hidden="1">
      <c r="A163" s="90"/>
      <c r="B163" s="54" t="s">
        <v>82</v>
      </c>
      <c r="C163" s="76" t="s">
        <v>73</v>
      </c>
      <c r="D163" s="49" t="str">
        <f>SERTIFIKASI_ALAT[[#This Row],[DESCRIPTION]]</f>
        <v>EYE BOLT</v>
      </c>
      <c r="E163" s="52">
        <v>0.22</v>
      </c>
      <c r="F163" s="52" t="s">
        <v>498</v>
      </c>
      <c r="G163" s="59">
        <v>46633</v>
      </c>
      <c r="H163" s="61" t="s">
        <v>411</v>
      </c>
      <c r="I163" s="59">
        <v>46268</v>
      </c>
      <c r="J163" s="59">
        <f t="shared" si="6"/>
        <v>46619</v>
      </c>
      <c r="K163" s="79"/>
      <c r="L163" s="49">
        <v>4010392940</v>
      </c>
      <c r="M163" s="52" t="s">
        <v>394</v>
      </c>
      <c r="N163" s="52" t="s">
        <v>495</v>
      </c>
      <c r="O163" s="54" t="s">
        <v>496</v>
      </c>
      <c r="P163" s="92"/>
    </row>
    <row r="164" spans="1:16" hidden="1">
      <c r="A164" s="90"/>
      <c r="B164" s="54" t="s">
        <v>83</v>
      </c>
      <c r="C164" s="76" t="s">
        <v>73</v>
      </c>
      <c r="D164" s="49" t="str">
        <f>SERTIFIKASI_ALAT[[#This Row],[DESCRIPTION]]</f>
        <v>EYE BOLT</v>
      </c>
      <c r="E164" s="52">
        <v>0.22</v>
      </c>
      <c r="F164" s="52" t="s">
        <v>498</v>
      </c>
      <c r="G164" s="59">
        <v>46633</v>
      </c>
      <c r="H164" s="61" t="s">
        <v>411</v>
      </c>
      <c r="I164" s="59">
        <v>46268</v>
      </c>
      <c r="J164" s="59">
        <f t="shared" si="6"/>
        <v>46619</v>
      </c>
      <c r="K164" s="79"/>
      <c r="L164" s="49">
        <v>4010392940</v>
      </c>
      <c r="M164" s="52" t="s">
        <v>394</v>
      </c>
      <c r="N164" s="52" t="s">
        <v>495</v>
      </c>
      <c r="O164" s="54" t="s">
        <v>496</v>
      </c>
      <c r="P164" s="92"/>
    </row>
    <row r="165" spans="1:16" hidden="1">
      <c r="A165" s="90"/>
      <c r="B165" s="54" t="s">
        <v>84</v>
      </c>
      <c r="C165" s="76" t="s">
        <v>73</v>
      </c>
      <c r="D165" s="49" t="str">
        <f>SERTIFIKASI_ALAT[[#This Row],[DESCRIPTION]]</f>
        <v>EYE BOLT</v>
      </c>
      <c r="E165" s="52">
        <v>0.45</v>
      </c>
      <c r="F165" s="52" t="s">
        <v>499</v>
      </c>
      <c r="G165" s="59">
        <v>46633</v>
      </c>
      <c r="H165" s="61" t="s">
        <v>411</v>
      </c>
      <c r="I165" s="59">
        <v>46268</v>
      </c>
      <c r="J165" s="59">
        <f t="shared" si="6"/>
        <v>46619</v>
      </c>
      <c r="K165" s="79"/>
      <c r="L165" s="49">
        <v>4010392940</v>
      </c>
      <c r="M165" s="52" t="s">
        <v>394</v>
      </c>
      <c r="N165" s="52" t="s">
        <v>495</v>
      </c>
      <c r="O165" s="54" t="s">
        <v>496</v>
      </c>
      <c r="P165" s="92"/>
    </row>
    <row r="166" spans="1:16" hidden="1">
      <c r="A166" s="90"/>
      <c r="B166" s="54" t="s">
        <v>85</v>
      </c>
      <c r="C166" s="76" t="s">
        <v>73</v>
      </c>
      <c r="D166" s="49" t="str">
        <f>SERTIFIKASI_ALAT[[#This Row],[DESCRIPTION]]</f>
        <v>EYE BOLT</v>
      </c>
      <c r="E166" s="52">
        <v>0.45</v>
      </c>
      <c r="F166" s="52" t="s">
        <v>500</v>
      </c>
      <c r="G166" s="59">
        <v>46633</v>
      </c>
      <c r="H166" s="61" t="s">
        <v>411</v>
      </c>
      <c r="I166" s="59">
        <v>46268</v>
      </c>
      <c r="J166" s="59">
        <f t="shared" si="6"/>
        <v>46619</v>
      </c>
      <c r="K166" s="79"/>
      <c r="L166" s="49">
        <v>4010392940</v>
      </c>
      <c r="M166" s="52" t="s">
        <v>394</v>
      </c>
      <c r="N166" s="52" t="s">
        <v>495</v>
      </c>
      <c r="O166" s="54" t="s">
        <v>496</v>
      </c>
      <c r="P166" s="92"/>
    </row>
    <row r="167" spans="1:16" hidden="1">
      <c r="A167" s="90"/>
      <c r="B167" s="54" t="s">
        <v>86</v>
      </c>
      <c r="C167" s="76" t="s">
        <v>73</v>
      </c>
      <c r="D167" s="49" t="str">
        <f>SERTIFIKASI_ALAT[[#This Row],[DESCRIPTION]]</f>
        <v>EYE BOLT</v>
      </c>
      <c r="E167" s="52">
        <v>0.45</v>
      </c>
      <c r="F167" s="52" t="s">
        <v>500</v>
      </c>
      <c r="G167" s="59">
        <v>46633</v>
      </c>
      <c r="H167" s="61" t="s">
        <v>411</v>
      </c>
      <c r="I167" s="59">
        <v>46268</v>
      </c>
      <c r="J167" s="59">
        <f t="shared" si="6"/>
        <v>46619</v>
      </c>
      <c r="K167" s="79"/>
      <c r="L167" s="49">
        <v>4010392940</v>
      </c>
      <c r="M167" s="52" t="s">
        <v>394</v>
      </c>
      <c r="N167" s="52" t="s">
        <v>495</v>
      </c>
      <c r="O167" s="54" t="s">
        <v>496</v>
      </c>
      <c r="P167" s="92"/>
    </row>
    <row r="168" spans="1:16" hidden="1">
      <c r="A168" s="90"/>
      <c r="B168" s="54" t="s">
        <v>87</v>
      </c>
      <c r="C168" s="76" t="s">
        <v>73</v>
      </c>
      <c r="D168" s="49" t="str">
        <f>SERTIFIKASI_ALAT[[#This Row],[DESCRIPTION]]</f>
        <v>EYE BOLT</v>
      </c>
      <c r="E168" s="52">
        <v>0.45</v>
      </c>
      <c r="F168" s="52" t="s">
        <v>500</v>
      </c>
      <c r="G168" s="59">
        <v>46633</v>
      </c>
      <c r="H168" s="61" t="s">
        <v>411</v>
      </c>
      <c r="I168" s="59">
        <v>46268</v>
      </c>
      <c r="J168" s="59">
        <f t="shared" si="6"/>
        <v>46619</v>
      </c>
      <c r="K168" s="79"/>
      <c r="L168" s="49">
        <v>4010392940</v>
      </c>
      <c r="M168" s="52" t="s">
        <v>394</v>
      </c>
      <c r="N168" s="52" t="s">
        <v>495</v>
      </c>
      <c r="O168" s="54" t="s">
        <v>496</v>
      </c>
      <c r="P168" s="92"/>
    </row>
    <row r="169" spans="1:16" s="78" customFormat="1" hidden="1">
      <c r="A169" s="90"/>
      <c r="B169" s="54" t="s">
        <v>88</v>
      </c>
      <c r="C169" s="76" t="s">
        <v>73</v>
      </c>
      <c r="D169" s="49" t="str">
        <f>SERTIFIKASI_ALAT[[#This Row],[DESCRIPTION]]</f>
        <v>EYE BOLT</v>
      </c>
      <c r="E169" s="52">
        <v>0.63</v>
      </c>
      <c r="F169" s="52" t="s">
        <v>501</v>
      </c>
      <c r="G169" s="59">
        <v>46633</v>
      </c>
      <c r="H169" s="61" t="s">
        <v>411</v>
      </c>
      <c r="I169" s="59">
        <v>46268</v>
      </c>
      <c r="J169" s="59">
        <f t="shared" si="6"/>
        <v>46619</v>
      </c>
      <c r="K169" s="79"/>
      <c r="L169" s="49">
        <v>4010392940</v>
      </c>
      <c r="M169" s="52" t="s">
        <v>394</v>
      </c>
      <c r="N169" s="52" t="s">
        <v>495</v>
      </c>
      <c r="O169" s="54" t="s">
        <v>496</v>
      </c>
      <c r="P169" s="92"/>
    </row>
    <row r="170" spans="1:16" hidden="1">
      <c r="A170" s="90"/>
      <c r="B170" s="54" t="s">
        <v>89</v>
      </c>
      <c r="C170" s="76" t="s">
        <v>73</v>
      </c>
      <c r="D170" s="49" t="str">
        <f>SERTIFIKASI_ALAT[[#This Row],[DESCRIPTION]]</f>
        <v>EYE BOLT</v>
      </c>
      <c r="E170" s="52">
        <v>0.63</v>
      </c>
      <c r="F170" s="52" t="s">
        <v>501</v>
      </c>
      <c r="G170" s="59">
        <v>46633</v>
      </c>
      <c r="H170" s="61" t="s">
        <v>411</v>
      </c>
      <c r="I170" s="59">
        <v>46268</v>
      </c>
      <c r="J170" s="59">
        <f t="shared" si="6"/>
        <v>46619</v>
      </c>
      <c r="K170" s="79"/>
      <c r="L170" s="49">
        <v>4010392940</v>
      </c>
      <c r="M170" s="52" t="s">
        <v>394</v>
      </c>
      <c r="N170" s="52" t="s">
        <v>495</v>
      </c>
      <c r="O170" s="54" t="s">
        <v>496</v>
      </c>
      <c r="P170" s="92"/>
    </row>
    <row r="171" spans="1:16" hidden="1">
      <c r="A171" s="90"/>
      <c r="B171" s="54" t="s">
        <v>90</v>
      </c>
      <c r="C171" s="76" t="s">
        <v>73</v>
      </c>
      <c r="D171" s="49" t="str">
        <f>SERTIFIKASI_ALAT[[#This Row],[DESCRIPTION]]</f>
        <v>EYE BOLT</v>
      </c>
      <c r="E171" s="52">
        <v>0.63</v>
      </c>
      <c r="F171" s="52" t="s">
        <v>493</v>
      </c>
      <c r="G171" s="59">
        <v>46633</v>
      </c>
      <c r="H171" s="61" t="s">
        <v>411</v>
      </c>
      <c r="I171" s="59">
        <v>46268</v>
      </c>
      <c r="J171" s="59">
        <f t="shared" si="6"/>
        <v>46619</v>
      </c>
      <c r="K171" s="79"/>
      <c r="L171" s="49">
        <v>4010392940</v>
      </c>
      <c r="M171" s="52" t="s">
        <v>394</v>
      </c>
      <c r="N171" s="52" t="s">
        <v>495</v>
      </c>
      <c r="O171" s="54" t="s">
        <v>496</v>
      </c>
      <c r="P171" s="92"/>
    </row>
    <row r="172" spans="1:16" hidden="1">
      <c r="A172" s="90"/>
      <c r="B172" s="54" t="s">
        <v>91</v>
      </c>
      <c r="C172" s="76" t="s">
        <v>73</v>
      </c>
      <c r="D172" s="49" t="str">
        <f>SERTIFIKASI_ALAT[[#This Row],[DESCRIPTION]]</f>
        <v>EYE BOLT</v>
      </c>
      <c r="E172" s="52">
        <v>0.63</v>
      </c>
      <c r="F172" s="52" t="s">
        <v>493</v>
      </c>
      <c r="G172" s="59">
        <v>46633</v>
      </c>
      <c r="H172" s="61" t="s">
        <v>411</v>
      </c>
      <c r="I172" s="59">
        <v>46268</v>
      </c>
      <c r="J172" s="59">
        <f t="shared" si="6"/>
        <v>46619</v>
      </c>
      <c r="K172" s="79"/>
      <c r="L172" s="49">
        <v>4010392940</v>
      </c>
      <c r="M172" s="52" t="s">
        <v>394</v>
      </c>
      <c r="N172" s="52" t="s">
        <v>495</v>
      </c>
      <c r="O172" s="54" t="s">
        <v>496</v>
      </c>
      <c r="P172" s="92"/>
    </row>
    <row r="173" spans="1:16" hidden="1">
      <c r="A173" s="90"/>
      <c r="B173" s="54" t="s">
        <v>92</v>
      </c>
      <c r="C173" s="76" t="s">
        <v>73</v>
      </c>
      <c r="D173" s="49" t="str">
        <f>SERTIFIKASI_ALAT[[#This Row],[DESCRIPTION]]</f>
        <v>EYE BOLT</v>
      </c>
      <c r="E173" s="52">
        <v>0.63</v>
      </c>
      <c r="F173" s="52" t="s">
        <v>502</v>
      </c>
      <c r="G173" s="59">
        <v>46633</v>
      </c>
      <c r="H173" s="61" t="s">
        <v>411</v>
      </c>
      <c r="I173" s="59">
        <v>46268</v>
      </c>
      <c r="J173" s="59">
        <f t="shared" si="6"/>
        <v>46619</v>
      </c>
      <c r="K173" s="79"/>
      <c r="L173" s="49">
        <v>4010392940</v>
      </c>
      <c r="M173" s="52" t="s">
        <v>394</v>
      </c>
      <c r="N173" s="52" t="s">
        <v>495</v>
      </c>
      <c r="O173" s="54" t="s">
        <v>496</v>
      </c>
      <c r="P173" s="92"/>
    </row>
    <row r="174" spans="1:16" hidden="1">
      <c r="A174" s="90"/>
      <c r="B174" s="54" t="s">
        <v>93</v>
      </c>
      <c r="C174" s="76" t="s">
        <v>73</v>
      </c>
      <c r="D174" s="49" t="str">
        <f>SERTIFIKASI_ALAT[[#This Row],[DESCRIPTION]]</f>
        <v>EYE BOLT</v>
      </c>
      <c r="E174" s="52">
        <v>0.63</v>
      </c>
      <c r="F174" s="52" t="s">
        <v>502</v>
      </c>
      <c r="G174" s="59">
        <v>46633</v>
      </c>
      <c r="H174" s="61" t="s">
        <v>411</v>
      </c>
      <c r="I174" s="59">
        <v>46268</v>
      </c>
      <c r="J174" s="59">
        <f t="shared" si="6"/>
        <v>46619</v>
      </c>
      <c r="K174" s="79"/>
      <c r="L174" s="49">
        <v>4010392940</v>
      </c>
      <c r="M174" s="52" t="s">
        <v>394</v>
      </c>
      <c r="N174" s="52" t="s">
        <v>495</v>
      </c>
      <c r="O174" s="54" t="s">
        <v>496</v>
      </c>
      <c r="P174" s="92"/>
    </row>
    <row r="175" spans="1:16" hidden="1">
      <c r="A175" s="90"/>
      <c r="B175" s="54" t="s">
        <v>94</v>
      </c>
      <c r="C175" s="76" t="s">
        <v>73</v>
      </c>
      <c r="D175" s="49" t="str">
        <f>SERTIFIKASI_ALAT[[#This Row],[DESCRIPTION]]</f>
        <v>EYE BOLT</v>
      </c>
      <c r="E175" s="52">
        <v>0.7</v>
      </c>
      <c r="F175" s="52" t="s">
        <v>499</v>
      </c>
      <c r="G175" s="59">
        <v>46633</v>
      </c>
      <c r="H175" s="61" t="s">
        <v>411</v>
      </c>
      <c r="I175" s="59">
        <v>46268</v>
      </c>
      <c r="J175" s="59">
        <f t="shared" si="6"/>
        <v>46619</v>
      </c>
      <c r="K175" s="79"/>
      <c r="L175" s="49">
        <v>4010392940</v>
      </c>
      <c r="M175" s="52" t="s">
        <v>394</v>
      </c>
      <c r="N175" s="52" t="s">
        <v>495</v>
      </c>
      <c r="O175" s="54" t="s">
        <v>496</v>
      </c>
      <c r="P175" s="92"/>
    </row>
    <row r="176" spans="1:16" hidden="1">
      <c r="A176" s="90"/>
      <c r="B176" s="54" t="s">
        <v>95</v>
      </c>
      <c r="C176" s="76" t="s">
        <v>73</v>
      </c>
      <c r="D176" s="49" t="str">
        <f>SERTIFIKASI_ALAT[[#This Row],[DESCRIPTION]]</f>
        <v>EYE BOLT</v>
      </c>
      <c r="E176" s="52">
        <v>0.7</v>
      </c>
      <c r="F176" s="52" t="s">
        <v>499</v>
      </c>
      <c r="G176" s="59">
        <v>46633</v>
      </c>
      <c r="H176" s="61" t="s">
        <v>411</v>
      </c>
      <c r="I176" s="59">
        <v>46268</v>
      </c>
      <c r="J176" s="59">
        <f t="shared" si="6"/>
        <v>46619</v>
      </c>
      <c r="K176" s="79"/>
      <c r="L176" s="49">
        <v>4010392940</v>
      </c>
      <c r="M176" s="52" t="s">
        <v>394</v>
      </c>
      <c r="N176" s="52" t="s">
        <v>495</v>
      </c>
      <c r="O176" s="54" t="s">
        <v>496</v>
      </c>
      <c r="P176" s="92"/>
    </row>
    <row r="177" spans="1:16" hidden="1">
      <c r="A177" s="90"/>
      <c r="B177" s="54" t="s">
        <v>96</v>
      </c>
      <c r="C177" s="76" t="s">
        <v>73</v>
      </c>
      <c r="D177" s="49" t="str">
        <f>SERTIFIKASI_ALAT[[#This Row],[DESCRIPTION]]</f>
        <v>EYE BOLT</v>
      </c>
      <c r="E177" s="52">
        <v>0.7</v>
      </c>
      <c r="F177" s="52" t="s">
        <v>499</v>
      </c>
      <c r="G177" s="59">
        <v>46633</v>
      </c>
      <c r="H177" s="61" t="s">
        <v>411</v>
      </c>
      <c r="I177" s="59">
        <v>46268</v>
      </c>
      <c r="J177" s="59">
        <f t="shared" si="6"/>
        <v>46619</v>
      </c>
      <c r="K177" s="79"/>
      <c r="L177" s="49">
        <v>4010392940</v>
      </c>
      <c r="M177" s="52" t="s">
        <v>394</v>
      </c>
      <c r="N177" s="52" t="s">
        <v>495</v>
      </c>
      <c r="O177" s="54" t="s">
        <v>496</v>
      </c>
      <c r="P177" s="92"/>
    </row>
    <row r="178" spans="1:16" hidden="1">
      <c r="A178" s="90"/>
      <c r="B178" s="54" t="s">
        <v>97</v>
      </c>
      <c r="C178" s="76" t="s">
        <v>73</v>
      </c>
      <c r="D178" s="49" t="str">
        <f>SERTIFIKASI_ALAT[[#This Row],[DESCRIPTION]]</f>
        <v>EYE BOLT</v>
      </c>
      <c r="E178" s="52">
        <v>0.7</v>
      </c>
      <c r="F178" s="52" t="s">
        <v>499</v>
      </c>
      <c r="G178" s="59">
        <v>46633</v>
      </c>
      <c r="H178" s="61" t="s">
        <v>411</v>
      </c>
      <c r="I178" s="59">
        <v>46268</v>
      </c>
      <c r="J178" s="59">
        <f t="shared" si="6"/>
        <v>46619</v>
      </c>
      <c r="K178" s="79"/>
      <c r="L178" s="49">
        <v>4010392940</v>
      </c>
      <c r="M178" s="52" t="s">
        <v>394</v>
      </c>
      <c r="N178" s="52" t="s">
        <v>495</v>
      </c>
      <c r="O178" s="54" t="s">
        <v>496</v>
      </c>
      <c r="P178" s="92"/>
    </row>
    <row r="179" spans="1:16" hidden="1">
      <c r="A179" s="90"/>
      <c r="B179" s="54" t="s">
        <v>98</v>
      </c>
      <c r="C179" s="76" t="s">
        <v>73</v>
      </c>
      <c r="D179" s="49" t="str">
        <f>SERTIFIKASI_ALAT[[#This Row],[DESCRIPTION]]</f>
        <v>EYE BOLT</v>
      </c>
      <c r="E179" s="52">
        <v>0.7</v>
      </c>
      <c r="F179" s="52" t="s">
        <v>503</v>
      </c>
      <c r="G179" s="59">
        <v>46633</v>
      </c>
      <c r="H179" s="61" t="s">
        <v>411</v>
      </c>
      <c r="I179" s="59">
        <v>46268</v>
      </c>
      <c r="J179" s="59">
        <f t="shared" si="6"/>
        <v>46619</v>
      </c>
      <c r="K179" s="79"/>
      <c r="L179" s="49">
        <v>4010392940</v>
      </c>
      <c r="M179" s="52" t="s">
        <v>394</v>
      </c>
      <c r="N179" s="52" t="s">
        <v>495</v>
      </c>
      <c r="O179" s="54" t="s">
        <v>496</v>
      </c>
      <c r="P179" s="92"/>
    </row>
    <row r="180" spans="1:16" hidden="1">
      <c r="A180" s="90"/>
      <c r="B180" s="54" t="s">
        <v>99</v>
      </c>
      <c r="C180" s="76" t="s">
        <v>73</v>
      </c>
      <c r="D180" s="49" t="str">
        <f>SERTIFIKASI_ALAT[[#This Row],[DESCRIPTION]]</f>
        <v>EYE BOLT</v>
      </c>
      <c r="E180" s="52">
        <v>0.7</v>
      </c>
      <c r="F180" s="52" t="s">
        <v>503</v>
      </c>
      <c r="G180" s="59">
        <v>46633</v>
      </c>
      <c r="H180" s="61" t="s">
        <v>411</v>
      </c>
      <c r="I180" s="59">
        <v>46268</v>
      </c>
      <c r="J180" s="59">
        <f t="shared" si="6"/>
        <v>46619</v>
      </c>
      <c r="K180" s="79"/>
      <c r="L180" s="49">
        <v>4010392940</v>
      </c>
      <c r="M180" s="52" t="s">
        <v>394</v>
      </c>
      <c r="N180" s="52" t="s">
        <v>495</v>
      </c>
      <c r="O180" s="54" t="s">
        <v>496</v>
      </c>
      <c r="P180" s="92"/>
    </row>
    <row r="181" spans="1:16" hidden="1">
      <c r="A181" s="90"/>
      <c r="B181" s="54" t="s">
        <v>100</v>
      </c>
      <c r="C181" s="76" t="s">
        <v>73</v>
      </c>
      <c r="D181" s="49" t="str">
        <f>SERTIFIKASI_ALAT[[#This Row],[DESCRIPTION]]</f>
        <v>EYE BOLT</v>
      </c>
      <c r="E181" s="52">
        <v>0.7</v>
      </c>
      <c r="F181" s="52" t="s">
        <v>503</v>
      </c>
      <c r="G181" s="59">
        <v>46633</v>
      </c>
      <c r="H181" s="61" t="s">
        <v>411</v>
      </c>
      <c r="I181" s="59">
        <v>46268</v>
      </c>
      <c r="J181" s="59">
        <f t="shared" si="6"/>
        <v>46619</v>
      </c>
      <c r="K181" s="79"/>
      <c r="L181" s="49">
        <v>4010392940</v>
      </c>
      <c r="M181" s="52" t="s">
        <v>394</v>
      </c>
      <c r="N181" s="52" t="s">
        <v>495</v>
      </c>
      <c r="O181" s="54" t="s">
        <v>496</v>
      </c>
      <c r="P181" s="92"/>
    </row>
    <row r="182" spans="1:16" hidden="1">
      <c r="A182" s="90"/>
      <c r="B182" s="54" t="s">
        <v>101</v>
      </c>
      <c r="C182" s="76" t="s">
        <v>73</v>
      </c>
      <c r="D182" s="49" t="str">
        <f>SERTIFIKASI_ALAT[[#This Row],[DESCRIPTION]]</f>
        <v>EYE BOLT</v>
      </c>
      <c r="E182" s="52">
        <v>0.95</v>
      </c>
      <c r="F182" s="52" t="s">
        <v>504</v>
      </c>
      <c r="G182" s="59">
        <v>46633</v>
      </c>
      <c r="H182" s="61" t="s">
        <v>411</v>
      </c>
      <c r="I182" s="59">
        <v>46268</v>
      </c>
      <c r="J182" s="59">
        <f t="shared" si="6"/>
        <v>46619</v>
      </c>
      <c r="K182" s="79"/>
      <c r="L182" s="49">
        <v>4010392940</v>
      </c>
      <c r="M182" s="52" t="s">
        <v>394</v>
      </c>
      <c r="N182" s="52" t="s">
        <v>495</v>
      </c>
      <c r="O182" s="54" t="s">
        <v>496</v>
      </c>
      <c r="P182" s="92"/>
    </row>
    <row r="183" spans="1:16" hidden="1">
      <c r="A183" s="90"/>
      <c r="B183" s="54" t="s">
        <v>102</v>
      </c>
      <c r="C183" s="76" t="s">
        <v>73</v>
      </c>
      <c r="D183" s="49" t="str">
        <f>SERTIFIKASI_ALAT[[#This Row],[DESCRIPTION]]</f>
        <v>EYE BOLT</v>
      </c>
      <c r="E183" s="52">
        <v>0.95</v>
      </c>
      <c r="F183" s="52" t="s">
        <v>504</v>
      </c>
      <c r="G183" s="59">
        <v>46633</v>
      </c>
      <c r="H183" s="61" t="s">
        <v>411</v>
      </c>
      <c r="I183" s="59">
        <v>46268</v>
      </c>
      <c r="J183" s="59">
        <f t="shared" si="6"/>
        <v>46619</v>
      </c>
      <c r="K183" s="79"/>
      <c r="L183" s="49">
        <v>4010392940</v>
      </c>
      <c r="M183" s="52" t="s">
        <v>394</v>
      </c>
      <c r="N183" s="52" t="s">
        <v>495</v>
      </c>
      <c r="O183" s="54" t="s">
        <v>496</v>
      </c>
      <c r="P183" s="92"/>
    </row>
    <row r="184" spans="1:16" hidden="1">
      <c r="A184" s="90"/>
      <c r="B184" s="54" t="s">
        <v>103</v>
      </c>
      <c r="C184" s="76" t="s">
        <v>73</v>
      </c>
      <c r="D184" s="49" t="str">
        <f>SERTIFIKASI_ALAT[[#This Row],[DESCRIPTION]]</f>
        <v>EYE BOLT</v>
      </c>
      <c r="E184" s="52">
        <v>0.95</v>
      </c>
      <c r="F184" s="52" t="s">
        <v>504</v>
      </c>
      <c r="G184" s="59">
        <v>46633</v>
      </c>
      <c r="H184" s="61" t="s">
        <v>411</v>
      </c>
      <c r="I184" s="59">
        <v>46268</v>
      </c>
      <c r="J184" s="59">
        <f t="shared" si="6"/>
        <v>46619</v>
      </c>
      <c r="K184" s="79"/>
      <c r="L184" s="49">
        <v>4010392940</v>
      </c>
      <c r="M184" s="52" t="s">
        <v>394</v>
      </c>
      <c r="N184" s="52" t="s">
        <v>495</v>
      </c>
      <c r="O184" s="54" t="s">
        <v>496</v>
      </c>
      <c r="P184" s="92"/>
    </row>
    <row r="185" spans="1:16" hidden="1">
      <c r="A185" s="90"/>
      <c r="B185" s="54" t="s">
        <v>104</v>
      </c>
      <c r="C185" s="76" t="s">
        <v>73</v>
      </c>
      <c r="D185" s="49" t="str">
        <f>SERTIFIKASI_ALAT[[#This Row],[DESCRIPTION]]</f>
        <v>EYE BOLT</v>
      </c>
      <c r="E185" s="52">
        <v>0.95</v>
      </c>
      <c r="F185" s="52" t="s">
        <v>505</v>
      </c>
      <c r="G185" s="59">
        <v>46633</v>
      </c>
      <c r="H185" s="61" t="s">
        <v>411</v>
      </c>
      <c r="I185" s="59">
        <v>46268</v>
      </c>
      <c r="J185" s="59">
        <f t="shared" si="6"/>
        <v>46619</v>
      </c>
      <c r="K185" s="79"/>
      <c r="L185" s="49">
        <v>4010392940</v>
      </c>
      <c r="M185" s="52" t="s">
        <v>394</v>
      </c>
      <c r="N185" s="52" t="s">
        <v>495</v>
      </c>
      <c r="O185" s="54" t="s">
        <v>496</v>
      </c>
      <c r="P185" s="92"/>
    </row>
    <row r="186" spans="1:16" hidden="1">
      <c r="A186" s="90"/>
      <c r="B186" s="54" t="s">
        <v>105</v>
      </c>
      <c r="C186" s="76" t="s">
        <v>73</v>
      </c>
      <c r="D186" s="49" t="str">
        <f>SERTIFIKASI_ALAT[[#This Row],[DESCRIPTION]]</f>
        <v>EYE BOLT</v>
      </c>
      <c r="E186" s="52">
        <v>0.95</v>
      </c>
      <c r="F186" s="52" t="s">
        <v>505</v>
      </c>
      <c r="G186" s="59">
        <v>46633</v>
      </c>
      <c r="H186" s="61" t="s">
        <v>411</v>
      </c>
      <c r="I186" s="59">
        <v>46268</v>
      </c>
      <c r="J186" s="59">
        <f t="shared" si="6"/>
        <v>46619</v>
      </c>
      <c r="K186" s="79"/>
      <c r="L186" s="49">
        <v>4010392940</v>
      </c>
      <c r="M186" s="52" t="s">
        <v>394</v>
      </c>
      <c r="N186" s="52" t="s">
        <v>495</v>
      </c>
      <c r="O186" s="54" t="s">
        <v>496</v>
      </c>
      <c r="P186" s="92"/>
    </row>
    <row r="187" spans="1:16" hidden="1">
      <c r="A187" s="90"/>
      <c r="B187" s="54" t="s">
        <v>106</v>
      </c>
      <c r="C187" s="76" t="s">
        <v>73</v>
      </c>
      <c r="D187" s="49" t="str">
        <f>SERTIFIKASI_ALAT[[#This Row],[DESCRIPTION]]</f>
        <v>EYE BOLT</v>
      </c>
      <c r="E187" s="52">
        <v>0.95</v>
      </c>
      <c r="F187" s="52" t="s">
        <v>505</v>
      </c>
      <c r="G187" s="59">
        <v>46633</v>
      </c>
      <c r="H187" s="61" t="s">
        <v>411</v>
      </c>
      <c r="I187" s="59">
        <v>46268</v>
      </c>
      <c r="J187" s="59">
        <f t="shared" si="6"/>
        <v>46619</v>
      </c>
      <c r="K187" s="79"/>
      <c r="L187" s="49">
        <v>4010392940</v>
      </c>
      <c r="M187" s="52" t="s">
        <v>394</v>
      </c>
      <c r="N187" s="52" t="s">
        <v>495</v>
      </c>
      <c r="O187" s="54" t="s">
        <v>496</v>
      </c>
      <c r="P187" s="92"/>
    </row>
    <row r="188" spans="1:16" hidden="1">
      <c r="A188" s="90"/>
      <c r="B188" s="54" t="s">
        <v>107</v>
      </c>
      <c r="C188" s="76" t="s">
        <v>73</v>
      </c>
      <c r="D188" s="49" t="str">
        <f>SERTIFIKASI_ALAT[[#This Row],[DESCRIPTION]]</f>
        <v>EYE BOLT</v>
      </c>
      <c r="E188" s="52">
        <v>1.2</v>
      </c>
      <c r="F188" s="52" t="s">
        <v>493</v>
      </c>
      <c r="G188" s="59">
        <v>46633</v>
      </c>
      <c r="H188" s="61" t="s">
        <v>411</v>
      </c>
      <c r="I188" s="59">
        <v>46268</v>
      </c>
      <c r="J188" s="59">
        <f t="shared" si="6"/>
        <v>46619</v>
      </c>
      <c r="K188" s="79"/>
      <c r="L188" s="49">
        <v>4010392940</v>
      </c>
      <c r="M188" s="52" t="s">
        <v>394</v>
      </c>
      <c r="N188" s="52" t="s">
        <v>495</v>
      </c>
      <c r="O188" s="54" t="s">
        <v>496</v>
      </c>
      <c r="P188" s="92"/>
    </row>
    <row r="189" spans="1:16" hidden="1">
      <c r="A189" s="90"/>
      <c r="B189" s="54" t="s">
        <v>108</v>
      </c>
      <c r="C189" s="76" t="s">
        <v>73</v>
      </c>
      <c r="D189" s="49" t="str">
        <f>SERTIFIKASI_ALAT[[#This Row],[DESCRIPTION]]</f>
        <v>EYE BOLT</v>
      </c>
      <c r="E189" s="52">
        <v>1.2</v>
      </c>
      <c r="F189" s="52" t="s">
        <v>493</v>
      </c>
      <c r="G189" s="59">
        <v>46633</v>
      </c>
      <c r="H189" s="61" t="s">
        <v>411</v>
      </c>
      <c r="I189" s="59">
        <v>46268</v>
      </c>
      <c r="J189" s="59">
        <f t="shared" ref="J189:J220" si="7">G189-14</f>
        <v>46619</v>
      </c>
      <c r="K189" s="79"/>
      <c r="L189" s="49">
        <v>4010392940</v>
      </c>
      <c r="M189" s="52" t="s">
        <v>394</v>
      </c>
      <c r="N189" s="52" t="s">
        <v>495</v>
      </c>
      <c r="O189" s="54" t="s">
        <v>496</v>
      </c>
      <c r="P189" s="92"/>
    </row>
    <row r="190" spans="1:16" hidden="1">
      <c r="A190" s="90"/>
      <c r="B190" s="54" t="s">
        <v>109</v>
      </c>
      <c r="C190" s="76" t="s">
        <v>73</v>
      </c>
      <c r="D190" s="49" t="str">
        <f>SERTIFIKASI_ALAT[[#This Row],[DESCRIPTION]]</f>
        <v>EYE BOLT</v>
      </c>
      <c r="E190" s="52">
        <v>1.2</v>
      </c>
      <c r="F190" s="52" t="s">
        <v>502</v>
      </c>
      <c r="G190" s="59">
        <v>46633</v>
      </c>
      <c r="H190" s="61" t="s">
        <v>411</v>
      </c>
      <c r="I190" s="59">
        <v>46268</v>
      </c>
      <c r="J190" s="59">
        <f t="shared" si="7"/>
        <v>46619</v>
      </c>
      <c r="K190" s="79"/>
      <c r="L190" s="49">
        <v>4010392940</v>
      </c>
      <c r="M190" s="52" t="s">
        <v>394</v>
      </c>
      <c r="N190" s="52" t="s">
        <v>495</v>
      </c>
      <c r="O190" s="54" t="s">
        <v>496</v>
      </c>
      <c r="P190" s="92"/>
    </row>
    <row r="191" spans="1:16" hidden="1">
      <c r="A191" s="90"/>
      <c r="B191" s="54" t="s">
        <v>110</v>
      </c>
      <c r="C191" s="76" t="s">
        <v>73</v>
      </c>
      <c r="D191" s="49" t="str">
        <f>SERTIFIKASI_ALAT[[#This Row],[DESCRIPTION]]</f>
        <v>EYE BOLT</v>
      </c>
      <c r="E191" s="52">
        <v>1.5</v>
      </c>
      <c r="F191" s="52" t="s">
        <v>506</v>
      </c>
      <c r="G191" s="59">
        <v>46633</v>
      </c>
      <c r="H191" s="61" t="s">
        <v>411</v>
      </c>
      <c r="I191" s="59">
        <v>46268</v>
      </c>
      <c r="J191" s="59">
        <f t="shared" si="7"/>
        <v>46619</v>
      </c>
      <c r="K191" s="79"/>
      <c r="L191" s="49">
        <v>4010392940</v>
      </c>
      <c r="M191" s="52" t="s">
        <v>394</v>
      </c>
      <c r="N191" s="52" t="s">
        <v>495</v>
      </c>
      <c r="O191" s="54" t="s">
        <v>496</v>
      </c>
      <c r="P191" s="92"/>
    </row>
    <row r="192" spans="1:16" hidden="1">
      <c r="A192" s="90"/>
      <c r="B192" s="54" t="s">
        <v>111</v>
      </c>
      <c r="C192" s="76" t="s">
        <v>73</v>
      </c>
      <c r="D192" s="49" t="str">
        <f>SERTIFIKASI_ALAT[[#This Row],[DESCRIPTION]]</f>
        <v>EYE BOLT</v>
      </c>
      <c r="E192" s="52">
        <v>1.5</v>
      </c>
      <c r="F192" s="52" t="s">
        <v>506</v>
      </c>
      <c r="G192" s="59">
        <v>46633</v>
      </c>
      <c r="H192" s="61" t="s">
        <v>411</v>
      </c>
      <c r="I192" s="59">
        <v>46268</v>
      </c>
      <c r="J192" s="59">
        <f t="shared" si="7"/>
        <v>46619</v>
      </c>
      <c r="K192" s="79"/>
      <c r="L192" s="49">
        <v>4010392940</v>
      </c>
      <c r="M192" s="52" t="s">
        <v>394</v>
      </c>
      <c r="N192" s="52" t="s">
        <v>495</v>
      </c>
      <c r="O192" s="54" t="s">
        <v>496</v>
      </c>
      <c r="P192" s="92"/>
    </row>
    <row r="193" spans="1:16" s="87" customFormat="1" hidden="1">
      <c r="A193" s="90"/>
      <c r="B193" s="54" t="s">
        <v>112</v>
      </c>
      <c r="C193" s="76" t="s">
        <v>73</v>
      </c>
      <c r="D193" s="49" t="str">
        <f>SERTIFIKASI_ALAT[[#This Row],[DESCRIPTION]]</f>
        <v>EYE BOLT</v>
      </c>
      <c r="E193" s="52">
        <v>1.5</v>
      </c>
      <c r="F193" s="52" t="s">
        <v>506</v>
      </c>
      <c r="G193" s="59">
        <v>46633</v>
      </c>
      <c r="H193" s="61" t="s">
        <v>411</v>
      </c>
      <c r="I193" s="59">
        <v>46268</v>
      </c>
      <c r="J193" s="59">
        <f t="shared" si="7"/>
        <v>46619</v>
      </c>
      <c r="K193" s="79"/>
      <c r="L193" s="49">
        <v>4010392940</v>
      </c>
      <c r="M193" s="52" t="s">
        <v>394</v>
      </c>
      <c r="N193" s="52" t="s">
        <v>495</v>
      </c>
      <c r="O193" s="54" t="s">
        <v>496</v>
      </c>
      <c r="P193" s="92"/>
    </row>
    <row r="194" spans="1:16" hidden="1">
      <c r="A194" s="90"/>
      <c r="B194" s="54" t="s">
        <v>113</v>
      </c>
      <c r="C194" s="76" t="s">
        <v>73</v>
      </c>
      <c r="D194" s="49" t="str">
        <f>SERTIFIKASI_ALAT[[#This Row],[DESCRIPTION]]</f>
        <v>EYE BOLT</v>
      </c>
      <c r="E194" s="52">
        <v>2.7</v>
      </c>
      <c r="F194" s="52" t="s">
        <v>507</v>
      </c>
      <c r="G194" s="59">
        <v>46633</v>
      </c>
      <c r="H194" s="61" t="s">
        <v>411</v>
      </c>
      <c r="I194" s="59">
        <v>46268</v>
      </c>
      <c r="J194" s="59">
        <f t="shared" si="7"/>
        <v>46619</v>
      </c>
      <c r="K194" s="79"/>
      <c r="L194" s="49">
        <v>4010392940</v>
      </c>
      <c r="M194" s="52" t="s">
        <v>394</v>
      </c>
      <c r="N194" s="52" t="s">
        <v>495</v>
      </c>
      <c r="O194" s="54" t="s">
        <v>496</v>
      </c>
      <c r="P194" s="92"/>
    </row>
    <row r="195" spans="1:16" hidden="1">
      <c r="A195" s="90"/>
      <c r="B195" s="54" t="s">
        <v>114</v>
      </c>
      <c r="C195" s="76" t="s">
        <v>73</v>
      </c>
      <c r="D195" s="49" t="str">
        <f>SERTIFIKASI_ALAT[[#This Row],[DESCRIPTION]]</f>
        <v>EYE BOLT</v>
      </c>
      <c r="E195" s="52">
        <v>2.7</v>
      </c>
      <c r="F195" s="52" t="s">
        <v>507</v>
      </c>
      <c r="G195" s="59">
        <v>46633</v>
      </c>
      <c r="H195" s="61" t="s">
        <v>411</v>
      </c>
      <c r="I195" s="59">
        <v>46268</v>
      </c>
      <c r="J195" s="59">
        <f t="shared" si="7"/>
        <v>46619</v>
      </c>
      <c r="K195" s="79"/>
      <c r="L195" s="49">
        <v>4010392940</v>
      </c>
      <c r="M195" s="52" t="s">
        <v>394</v>
      </c>
      <c r="N195" s="52" t="s">
        <v>495</v>
      </c>
      <c r="O195" s="54" t="s">
        <v>496</v>
      </c>
      <c r="P195" s="92"/>
    </row>
    <row r="196" spans="1:16" hidden="1">
      <c r="A196" s="90"/>
      <c r="B196" s="54" t="s">
        <v>115</v>
      </c>
      <c r="C196" s="76" t="s">
        <v>73</v>
      </c>
      <c r="D196" s="49" t="str">
        <f>SERTIFIKASI_ALAT[[#This Row],[DESCRIPTION]]</f>
        <v>EYE BOLT</v>
      </c>
      <c r="E196" s="52">
        <v>2.7</v>
      </c>
      <c r="F196" s="52" t="s">
        <v>507</v>
      </c>
      <c r="G196" s="59">
        <v>46633</v>
      </c>
      <c r="H196" s="61" t="s">
        <v>411</v>
      </c>
      <c r="I196" s="59">
        <v>46268</v>
      </c>
      <c r="J196" s="59">
        <f t="shared" si="7"/>
        <v>46619</v>
      </c>
      <c r="K196" s="79"/>
      <c r="L196" s="49">
        <v>4010392940</v>
      </c>
      <c r="M196" s="52" t="s">
        <v>394</v>
      </c>
      <c r="N196" s="52" t="s">
        <v>495</v>
      </c>
      <c r="O196" s="54" t="s">
        <v>496</v>
      </c>
      <c r="P196" s="92"/>
    </row>
    <row r="197" spans="1:16" hidden="1">
      <c r="A197" s="90"/>
      <c r="B197" s="54" t="s">
        <v>238</v>
      </c>
      <c r="C197" s="76" t="s">
        <v>239</v>
      </c>
      <c r="D197" s="49" t="str">
        <f>SERTIFIKASI_ALAT[[#This Row],[DESCRIPTION]]</f>
        <v>RING GEAR 785-7</v>
      </c>
      <c r="E197" s="52">
        <v>0.1</v>
      </c>
      <c r="F197" s="52"/>
      <c r="G197" s="59">
        <v>46633</v>
      </c>
      <c r="H197" s="61" t="s">
        <v>411</v>
      </c>
      <c r="I197" s="59">
        <v>46268</v>
      </c>
      <c r="J197" s="59">
        <f t="shared" si="7"/>
        <v>46619</v>
      </c>
      <c r="K197" s="79"/>
      <c r="L197" s="49">
        <v>4010392940</v>
      </c>
      <c r="M197" s="52" t="s">
        <v>394</v>
      </c>
      <c r="N197" s="52"/>
      <c r="O197" s="54" t="s">
        <v>508</v>
      </c>
      <c r="P197" s="92"/>
    </row>
    <row r="198" spans="1:16" hidden="1">
      <c r="A198" s="90"/>
      <c r="B198" s="54" t="s">
        <v>240</v>
      </c>
      <c r="C198" s="76" t="s">
        <v>239</v>
      </c>
      <c r="D198" s="49" t="str">
        <f>SERTIFIKASI_ALAT[[#This Row],[DESCRIPTION]]</f>
        <v>RING GEAR 785-7</v>
      </c>
      <c r="E198" s="52">
        <v>0.1</v>
      </c>
      <c r="F198" s="52"/>
      <c r="G198" s="59">
        <v>46633</v>
      </c>
      <c r="H198" s="61" t="s">
        <v>411</v>
      </c>
      <c r="I198" s="59">
        <v>46268</v>
      </c>
      <c r="J198" s="59">
        <f t="shared" si="7"/>
        <v>46619</v>
      </c>
      <c r="K198" s="79"/>
      <c r="L198" s="49">
        <v>4010392940</v>
      </c>
      <c r="M198" s="52" t="s">
        <v>394</v>
      </c>
      <c r="N198" s="52"/>
      <c r="O198" s="54" t="s">
        <v>508</v>
      </c>
      <c r="P198" s="92"/>
    </row>
    <row r="199" spans="1:16" hidden="1">
      <c r="A199" s="90"/>
      <c r="B199" s="54" t="s">
        <v>241</v>
      </c>
      <c r="C199" s="76" t="s">
        <v>239</v>
      </c>
      <c r="D199" s="49" t="str">
        <f>SERTIFIKASI_ALAT[[#This Row],[DESCRIPTION]]</f>
        <v>RING GEAR 785-7</v>
      </c>
      <c r="E199" s="52">
        <v>0.1</v>
      </c>
      <c r="F199" s="52"/>
      <c r="G199" s="59">
        <v>46633</v>
      </c>
      <c r="H199" s="61" t="s">
        <v>411</v>
      </c>
      <c r="I199" s="59">
        <v>46268</v>
      </c>
      <c r="J199" s="59">
        <f t="shared" si="7"/>
        <v>46619</v>
      </c>
      <c r="K199" s="79"/>
      <c r="L199" s="49">
        <v>4010392940</v>
      </c>
      <c r="M199" s="52" t="s">
        <v>394</v>
      </c>
      <c r="N199" s="52"/>
      <c r="O199" s="54" t="s">
        <v>508</v>
      </c>
      <c r="P199" s="92"/>
    </row>
    <row r="200" spans="1:16" hidden="1">
      <c r="A200" s="90"/>
      <c r="B200" s="54" t="s">
        <v>251</v>
      </c>
      <c r="C200" s="76" t="s">
        <v>252</v>
      </c>
      <c r="D200" s="49" t="str">
        <f>SERTIFIKASI_ALAT[[#This Row],[DESCRIPTION]]</f>
        <v>SHACKLE</v>
      </c>
      <c r="E200" s="52">
        <v>1</v>
      </c>
      <c r="F200" s="52" t="s">
        <v>490</v>
      </c>
      <c r="G200" s="59">
        <v>46633</v>
      </c>
      <c r="H200" s="61" t="s">
        <v>411</v>
      </c>
      <c r="I200" s="59">
        <v>46268</v>
      </c>
      <c r="J200" s="59">
        <f t="shared" si="7"/>
        <v>46619</v>
      </c>
      <c r="K200" s="79"/>
      <c r="L200" s="49">
        <v>4010392940</v>
      </c>
      <c r="M200" s="52" t="s">
        <v>394</v>
      </c>
      <c r="N200" s="52" t="s">
        <v>509</v>
      </c>
      <c r="O200" s="54" t="s">
        <v>510</v>
      </c>
      <c r="P200" s="92"/>
    </row>
    <row r="201" spans="1:16" hidden="1">
      <c r="A201" s="90"/>
      <c r="B201" s="54" t="s">
        <v>253</v>
      </c>
      <c r="C201" s="76" t="s">
        <v>252</v>
      </c>
      <c r="D201" s="49" t="str">
        <f>SERTIFIKASI_ALAT[[#This Row],[DESCRIPTION]]</f>
        <v>SHACKLE</v>
      </c>
      <c r="E201" s="52">
        <v>1</v>
      </c>
      <c r="F201" s="52" t="s">
        <v>490</v>
      </c>
      <c r="G201" s="59">
        <v>46633</v>
      </c>
      <c r="H201" s="61" t="s">
        <v>411</v>
      </c>
      <c r="I201" s="59">
        <v>46268</v>
      </c>
      <c r="J201" s="59">
        <f t="shared" si="7"/>
        <v>46619</v>
      </c>
      <c r="K201" s="79"/>
      <c r="L201" s="49">
        <v>4010392940</v>
      </c>
      <c r="M201" s="52" t="s">
        <v>394</v>
      </c>
      <c r="N201" s="52" t="s">
        <v>509</v>
      </c>
      <c r="O201" s="54" t="s">
        <v>510</v>
      </c>
      <c r="P201" s="92"/>
    </row>
    <row r="202" spans="1:16" hidden="1">
      <c r="A202" s="90"/>
      <c r="B202" s="54" t="s">
        <v>254</v>
      </c>
      <c r="C202" s="76" t="s">
        <v>252</v>
      </c>
      <c r="D202" s="49" t="str">
        <f>SERTIFIKASI_ALAT[[#This Row],[DESCRIPTION]]</f>
        <v>SHACKLE</v>
      </c>
      <c r="E202" s="52">
        <v>1</v>
      </c>
      <c r="F202" s="52" t="s">
        <v>490</v>
      </c>
      <c r="G202" s="59">
        <v>46633</v>
      </c>
      <c r="H202" s="61" t="s">
        <v>411</v>
      </c>
      <c r="I202" s="59">
        <v>46268</v>
      </c>
      <c r="J202" s="59">
        <f t="shared" si="7"/>
        <v>46619</v>
      </c>
      <c r="K202" s="79"/>
      <c r="L202" s="49">
        <v>4010392940</v>
      </c>
      <c r="M202" s="52" t="s">
        <v>394</v>
      </c>
      <c r="N202" s="52" t="s">
        <v>509</v>
      </c>
      <c r="O202" s="54" t="s">
        <v>510</v>
      </c>
      <c r="P202" s="92"/>
    </row>
    <row r="203" spans="1:16" hidden="1">
      <c r="A203" s="90"/>
      <c r="B203" s="54" t="s">
        <v>255</v>
      </c>
      <c r="C203" s="76" t="s">
        <v>252</v>
      </c>
      <c r="D203" s="49" t="str">
        <f>SERTIFIKASI_ALAT[[#This Row],[DESCRIPTION]]</f>
        <v>SHACKLE</v>
      </c>
      <c r="E203" s="52">
        <v>1</v>
      </c>
      <c r="F203" s="52" t="s">
        <v>490</v>
      </c>
      <c r="G203" s="59">
        <v>46633</v>
      </c>
      <c r="H203" s="61" t="s">
        <v>411</v>
      </c>
      <c r="I203" s="59">
        <v>46268</v>
      </c>
      <c r="J203" s="59">
        <f t="shared" si="7"/>
        <v>46619</v>
      </c>
      <c r="K203" s="79"/>
      <c r="L203" s="49">
        <v>4010392940</v>
      </c>
      <c r="M203" s="52" t="s">
        <v>394</v>
      </c>
      <c r="N203" s="52" t="s">
        <v>509</v>
      </c>
      <c r="O203" s="54" t="s">
        <v>510</v>
      </c>
      <c r="P203" s="92"/>
    </row>
    <row r="204" spans="1:16" hidden="1">
      <c r="A204" s="90"/>
      <c r="B204" s="54" t="s">
        <v>256</v>
      </c>
      <c r="C204" s="76" t="s">
        <v>252</v>
      </c>
      <c r="D204" s="49" t="str">
        <f>SERTIFIKASI_ALAT[[#This Row],[DESCRIPTION]]</f>
        <v>SHACKLE</v>
      </c>
      <c r="E204" s="52">
        <v>2</v>
      </c>
      <c r="F204" s="52" t="s">
        <v>492</v>
      </c>
      <c r="G204" s="59">
        <v>46633</v>
      </c>
      <c r="H204" s="61" t="s">
        <v>411</v>
      </c>
      <c r="I204" s="59">
        <v>46268</v>
      </c>
      <c r="J204" s="59">
        <f t="shared" si="7"/>
        <v>46619</v>
      </c>
      <c r="K204" s="79"/>
      <c r="L204" s="49">
        <v>4010392940</v>
      </c>
      <c r="M204" s="52" t="s">
        <v>394</v>
      </c>
      <c r="N204" s="52" t="s">
        <v>511</v>
      </c>
      <c r="O204" s="54" t="s">
        <v>510</v>
      </c>
      <c r="P204" s="92"/>
    </row>
    <row r="205" spans="1:16" hidden="1">
      <c r="A205" s="90"/>
      <c r="B205" s="54" t="s">
        <v>257</v>
      </c>
      <c r="C205" s="76" t="s">
        <v>252</v>
      </c>
      <c r="D205" s="49" t="str">
        <f>SERTIFIKASI_ALAT[[#This Row],[DESCRIPTION]]</f>
        <v>SHACKLE</v>
      </c>
      <c r="E205" s="52">
        <v>2</v>
      </c>
      <c r="F205" s="52" t="s">
        <v>492</v>
      </c>
      <c r="G205" s="59">
        <v>46633</v>
      </c>
      <c r="H205" s="61" t="s">
        <v>411</v>
      </c>
      <c r="I205" s="59">
        <v>46268</v>
      </c>
      <c r="J205" s="59">
        <f t="shared" si="7"/>
        <v>46619</v>
      </c>
      <c r="K205" s="79"/>
      <c r="L205" s="49">
        <v>4010392940</v>
      </c>
      <c r="M205" s="52" t="s">
        <v>394</v>
      </c>
      <c r="N205" s="52" t="s">
        <v>511</v>
      </c>
      <c r="O205" s="54" t="s">
        <v>510</v>
      </c>
      <c r="P205" s="92"/>
    </row>
    <row r="206" spans="1:16" hidden="1">
      <c r="A206" s="90"/>
      <c r="B206" s="54" t="s">
        <v>258</v>
      </c>
      <c r="C206" s="76" t="s">
        <v>252</v>
      </c>
      <c r="D206" s="49" t="str">
        <f>SERTIFIKASI_ALAT[[#This Row],[DESCRIPTION]]</f>
        <v>SHACKLE</v>
      </c>
      <c r="E206" s="52">
        <v>2</v>
      </c>
      <c r="F206" s="52" t="s">
        <v>492</v>
      </c>
      <c r="G206" s="59">
        <v>46633</v>
      </c>
      <c r="H206" s="61" t="s">
        <v>411</v>
      </c>
      <c r="I206" s="59">
        <v>46268</v>
      </c>
      <c r="J206" s="59">
        <f t="shared" si="7"/>
        <v>46619</v>
      </c>
      <c r="K206" s="79"/>
      <c r="L206" s="49">
        <v>4010392940</v>
      </c>
      <c r="M206" s="52" t="s">
        <v>394</v>
      </c>
      <c r="N206" s="52" t="s">
        <v>511</v>
      </c>
      <c r="O206" s="54" t="s">
        <v>510</v>
      </c>
      <c r="P206" s="92"/>
    </row>
    <row r="207" spans="1:16" hidden="1">
      <c r="A207" s="90"/>
      <c r="B207" s="54" t="s">
        <v>259</v>
      </c>
      <c r="C207" s="76" t="s">
        <v>252</v>
      </c>
      <c r="D207" s="49" t="str">
        <f>SERTIFIKASI_ALAT[[#This Row],[DESCRIPTION]]</f>
        <v>SHACKLE</v>
      </c>
      <c r="E207" s="52">
        <v>2</v>
      </c>
      <c r="F207" s="52" t="s">
        <v>492</v>
      </c>
      <c r="G207" s="59">
        <v>46633</v>
      </c>
      <c r="H207" s="61" t="s">
        <v>411</v>
      </c>
      <c r="I207" s="59">
        <v>46268</v>
      </c>
      <c r="J207" s="59">
        <f t="shared" si="7"/>
        <v>46619</v>
      </c>
      <c r="K207" s="79"/>
      <c r="L207" s="49">
        <v>4010392940</v>
      </c>
      <c r="M207" s="52" t="s">
        <v>394</v>
      </c>
      <c r="N207" s="52" t="s">
        <v>511</v>
      </c>
      <c r="O207" s="54" t="s">
        <v>510</v>
      </c>
      <c r="P207" s="92"/>
    </row>
    <row r="208" spans="1:16" hidden="1">
      <c r="A208" s="90"/>
      <c r="B208" s="54" t="s">
        <v>260</v>
      </c>
      <c r="C208" s="76" t="s">
        <v>252</v>
      </c>
      <c r="D208" s="49" t="str">
        <f>SERTIFIKASI_ALAT[[#This Row],[DESCRIPTION]]</f>
        <v>SHACKLE</v>
      </c>
      <c r="E208" s="52">
        <v>3.25</v>
      </c>
      <c r="F208" s="52" t="s">
        <v>500</v>
      </c>
      <c r="G208" s="59">
        <v>46633</v>
      </c>
      <c r="H208" s="61" t="s">
        <v>411</v>
      </c>
      <c r="I208" s="59">
        <v>46268</v>
      </c>
      <c r="J208" s="59">
        <f t="shared" si="7"/>
        <v>46619</v>
      </c>
      <c r="K208" s="79"/>
      <c r="L208" s="49">
        <v>4010392940</v>
      </c>
      <c r="M208" s="52" t="s">
        <v>394</v>
      </c>
      <c r="N208" s="52" t="s">
        <v>511</v>
      </c>
      <c r="O208" s="54" t="s">
        <v>510</v>
      </c>
      <c r="P208" s="92"/>
    </row>
    <row r="209" spans="1:16" hidden="1">
      <c r="A209" s="90"/>
      <c r="B209" s="54" t="s">
        <v>261</v>
      </c>
      <c r="C209" s="76" t="s">
        <v>252</v>
      </c>
      <c r="D209" s="49" t="str">
        <f>SERTIFIKASI_ALAT[[#This Row],[DESCRIPTION]]</f>
        <v>SHACKLE</v>
      </c>
      <c r="E209" s="52">
        <v>3.25</v>
      </c>
      <c r="F209" s="52" t="s">
        <v>500</v>
      </c>
      <c r="G209" s="59">
        <v>46633</v>
      </c>
      <c r="H209" s="61" t="s">
        <v>411</v>
      </c>
      <c r="I209" s="59">
        <v>46268</v>
      </c>
      <c r="J209" s="59">
        <f t="shared" si="7"/>
        <v>46619</v>
      </c>
      <c r="K209" s="79"/>
      <c r="L209" s="49">
        <v>4010392940</v>
      </c>
      <c r="M209" s="52" t="s">
        <v>394</v>
      </c>
      <c r="N209" s="52" t="s">
        <v>511</v>
      </c>
      <c r="O209" s="54" t="s">
        <v>510</v>
      </c>
      <c r="P209" s="92"/>
    </row>
    <row r="210" spans="1:16" hidden="1">
      <c r="A210" s="90"/>
      <c r="B210" s="54" t="s">
        <v>262</v>
      </c>
      <c r="C210" s="76" t="s">
        <v>252</v>
      </c>
      <c r="D210" s="49" t="str">
        <f>SERTIFIKASI_ALAT[[#This Row],[DESCRIPTION]]</f>
        <v>SHACKLE</v>
      </c>
      <c r="E210" s="52">
        <v>3.25</v>
      </c>
      <c r="F210" s="52" t="s">
        <v>500</v>
      </c>
      <c r="G210" s="59">
        <v>46633</v>
      </c>
      <c r="H210" s="61" t="s">
        <v>411</v>
      </c>
      <c r="I210" s="59">
        <v>46268</v>
      </c>
      <c r="J210" s="59">
        <f t="shared" si="7"/>
        <v>46619</v>
      </c>
      <c r="K210" s="79"/>
      <c r="L210" s="49">
        <v>4010392940</v>
      </c>
      <c r="M210" s="52" t="s">
        <v>394</v>
      </c>
      <c r="N210" s="52" t="s">
        <v>511</v>
      </c>
      <c r="O210" s="54" t="s">
        <v>510</v>
      </c>
      <c r="P210" s="92"/>
    </row>
    <row r="211" spans="1:16" hidden="1">
      <c r="A211" s="90"/>
      <c r="B211" s="54" t="s">
        <v>263</v>
      </c>
      <c r="C211" s="76" t="s">
        <v>252</v>
      </c>
      <c r="D211" s="49" t="str">
        <f>SERTIFIKASI_ALAT[[#This Row],[DESCRIPTION]]</f>
        <v>SHACKLE</v>
      </c>
      <c r="E211" s="52">
        <v>4.75</v>
      </c>
      <c r="F211" s="52" t="s">
        <v>493</v>
      </c>
      <c r="G211" s="59">
        <v>46633</v>
      </c>
      <c r="H211" s="61" t="s">
        <v>411</v>
      </c>
      <c r="I211" s="59">
        <v>46268</v>
      </c>
      <c r="J211" s="59">
        <f t="shared" si="7"/>
        <v>46619</v>
      </c>
      <c r="K211" s="79"/>
      <c r="L211" s="49">
        <v>4010392940</v>
      </c>
      <c r="M211" s="52" t="s">
        <v>394</v>
      </c>
      <c r="N211" s="52" t="s">
        <v>511</v>
      </c>
      <c r="O211" s="54" t="s">
        <v>510</v>
      </c>
      <c r="P211" s="92"/>
    </row>
    <row r="212" spans="1:16" hidden="1">
      <c r="A212" s="90"/>
      <c r="B212" s="54" t="s">
        <v>264</v>
      </c>
      <c r="C212" s="76" t="s">
        <v>252</v>
      </c>
      <c r="D212" s="49" t="str">
        <f>SERTIFIKASI_ALAT[[#This Row],[DESCRIPTION]]</f>
        <v>SHACKLE</v>
      </c>
      <c r="E212" s="52">
        <v>4.75</v>
      </c>
      <c r="F212" s="52" t="s">
        <v>493</v>
      </c>
      <c r="G212" s="59">
        <v>46633</v>
      </c>
      <c r="H212" s="61" t="s">
        <v>411</v>
      </c>
      <c r="I212" s="59">
        <v>46268</v>
      </c>
      <c r="J212" s="59">
        <f t="shared" si="7"/>
        <v>46619</v>
      </c>
      <c r="K212" s="79"/>
      <c r="L212" s="49">
        <v>4010392940</v>
      </c>
      <c r="M212" s="52" t="s">
        <v>394</v>
      </c>
      <c r="N212" s="52" t="s">
        <v>511</v>
      </c>
      <c r="O212" s="54" t="s">
        <v>510</v>
      </c>
      <c r="P212" s="92"/>
    </row>
    <row r="213" spans="1:16" hidden="1">
      <c r="A213" s="90"/>
      <c r="B213" s="54" t="s">
        <v>265</v>
      </c>
      <c r="C213" s="76" t="s">
        <v>252</v>
      </c>
      <c r="D213" s="49" t="str">
        <f>SERTIFIKASI_ALAT[[#This Row],[DESCRIPTION]]</f>
        <v>SHACKLE</v>
      </c>
      <c r="E213" s="52">
        <v>8.5</v>
      </c>
      <c r="F213" s="52" t="s">
        <v>505</v>
      </c>
      <c r="G213" s="59">
        <v>46633</v>
      </c>
      <c r="H213" s="61" t="s">
        <v>411</v>
      </c>
      <c r="I213" s="59">
        <v>46268</v>
      </c>
      <c r="J213" s="59">
        <f t="shared" si="7"/>
        <v>46619</v>
      </c>
      <c r="K213" s="79"/>
      <c r="L213" s="49">
        <v>4010392940</v>
      </c>
      <c r="M213" s="52" t="s">
        <v>394</v>
      </c>
      <c r="N213" s="52" t="s">
        <v>511</v>
      </c>
      <c r="O213" s="54" t="s">
        <v>510</v>
      </c>
      <c r="P213" s="92"/>
    </row>
    <row r="214" spans="1:16" hidden="1">
      <c r="A214" s="90"/>
      <c r="B214" s="54" t="s">
        <v>266</v>
      </c>
      <c r="C214" s="76" t="s">
        <v>252</v>
      </c>
      <c r="D214" s="49" t="str">
        <f>SERTIFIKASI_ALAT[[#This Row],[DESCRIPTION]]</f>
        <v>SHACKLE</v>
      </c>
      <c r="E214" s="52">
        <v>8.5</v>
      </c>
      <c r="F214" s="52" t="s">
        <v>505</v>
      </c>
      <c r="G214" s="59">
        <v>46633</v>
      </c>
      <c r="H214" s="61" t="s">
        <v>411</v>
      </c>
      <c r="I214" s="59">
        <v>46268</v>
      </c>
      <c r="J214" s="59">
        <f t="shared" si="7"/>
        <v>46619</v>
      </c>
      <c r="K214" s="79"/>
      <c r="L214" s="49">
        <v>4010392940</v>
      </c>
      <c r="M214" s="52" t="s">
        <v>394</v>
      </c>
      <c r="N214" s="52" t="s">
        <v>511</v>
      </c>
      <c r="O214" s="54" t="s">
        <v>510</v>
      </c>
      <c r="P214" s="92"/>
    </row>
    <row r="215" spans="1:16" hidden="1">
      <c r="A215" s="90"/>
      <c r="B215" s="54" t="s">
        <v>353</v>
      </c>
      <c r="C215" s="76" t="s">
        <v>354</v>
      </c>
      <c r="D215" s="49" t="str">
        <f>SERTIFIKASI_ALAT[[#This Row],[DESCRIPTION]]</f>
        <v>SWIPEL</v>
      </c>
      <c r="E215" s="52">
        <v>1.5</v>
      </c>
      <c r="F215" s="52" t="s">
        <v>499</v>
      </c>
      <c r="G215" s="59">
        <v>46633</v>
      </c>
      <c r="H215" s="61" t="s">
        <v>411</v>
      </c>
      <c r="I215" s="59">
        <v>46268</v>
      </c>
      <c r="J215" s="59">
        <f t="shared" si="7"/>
        <v>46619</v>
      </c>
      <c r="K215" s="79"/>
      <c r="L215" s="49">
        <v>4010392940</v>
      </c>
      <c r="M215" s="52" t="s">
        <v>394</v>
      </c>
      <c r="N215" s="52" t="s">
        <v>512</v>
      </c>
      <c r="O215" s="54" t="s">
        <v>513</v>
      </c>
      <c r="P215" s="92"/>
    </row>
    <row r="216" spans="1:16" hidden="1">
      <c r="A216" s="90"/>
      <c r="B216" s="54" t="s">
        <v>355</v>
      </c>
      <c r="C216" s="76" t="s">
        <v>354</v>
      </c>
      <c r="D216" s="49" t="str">
        <f>SERTIFIKASI_ALAT[[#This Row],[DESCRIPTION]]</f>
        <v>SWIPEL</v>
      </c>
      <c r="E216" s="52">
        <v>1.5</v>
      </c>
      <c r="F216" s="52" t="s">
        <v>499</v>
      </c>
      <c r="G216" s="59">
        <v>46633</v>
      </c>
      <c r="H216" s="61" t="s">
        <v>411</v>
      </c>
      <c r="I216" s="59">
        <v>46268</v>
      </c>
      <c r="J216" s="59">
        <f t="shared" si="7"/>
        <v>46619</v>
      </c>
      <c r="K216" s="79"/>
      <c r="L216" s="49">
        <v>4010392940</v>
      </c>
      <c r="M216" s="52" t="s">
        <v>394</v>
      </c>
      <c r="N216" s="52" t="s">
        <v>512</v>
      </c>
      <c r="O216" s="54" t="s">
        <v>513</v>
      </c>
      <c r="P216" s="92"/>
    </row>
    <row r="217" spans="1:16" hidden="1">
      <c r="A217" s="90"/>
      <c r="B217" s="54" t="s">
        <v>356</v>
      </c>
      <c r="C217" s="76" t="s">
        <v>354</v>
      </c>
      <c r="D217" s="49" t="str">
        <f>SERTIFIKASI_ALAT[[#This Row],[DESCRIPTION]]</f>
        <v>SWIPEL</v>
      </c>
      <c r="E217" s="52">
        <v>1.5</v>
      </c>
      <c r="F217" s="52" t="s">
        <v>499</v>
      </c>
      <c r="G217" s="59">
        <v>46633</v>
      </c>
      <c r="H217" s="61" t="s">
        <v>411</v>
      </c>
      <c r="I217" s="59">
        <v>46268</v>
      </c>
      <c r="J217" s="59">
        <f t="shared" si="7"/>
        <v>46619</v>
      </c>
      <c r="K217" s="79"/>
      <c r="L217" s="49">
        <v>4010392940</v>
      </c>
      <c r="M217" s="52" t="s">
        <v>394</v>
      </c>
      <c r="N217" s="52" t="s">
        <v>512</v>
      </c>
      <c r="O217" s="54" t="s">
        <v>513</v>
      </c>
      <c r="P217" s="92"/>
    </row>
    <row r="218" spans="1:16" hidden="1">
      <c r="A218" s="90"/>
      <c r="B218" s="54" t="s">
        <v>357</v>
      </c>
      <c r="C218" s="76" t="s">
        <v>354</v>
      </c>
      <c r="D218" s="49" t="str">
        <f>SERTIFIKASI_ALAT[[#This Row],[DESCRIPTION]]</f>
        <v>SWIPEL</v>
      </c>
      <c r="E218" s="52">
        <v>2.5</v>
      </c>
      <c r="F218" s="52" t="s">
        <v>502</v>
      </c>
      <c r="G218" s="59">
        <v>46633</v>
      </c>
      <c r="H218" s="61" t="s">
        <v>411</v>
      </c>
      <c r="I218" s="59">
        <v>46268</v>
      </c>
      <c r="J218" s="59">
        <f t="shared" si="7"/>
        <v>46619</v>
      </c>
      <c r="K218" s="79"/>
      <c r="L218" s="49">
        <v>4010392940</v>
      </c>
      <c r="M218" s="52" t="s">
        <v>394</v>
      </c>
      <c r="N218" s="52" t="s">
        <v>512</v>
      </c>
      <c r="O218" s="54" t="s">
        <v>513</v>
      </c>
      <c r="P218" s="92"/>
    </row>
    <row r="219" spans="1:16" hidden="1">
      <c r="A219" s="90"/>
      <c r="B219" s="54" t="s">
        <v>358</v>
      </c>
      <c r="C219" s="76" t="s">
        <v>354</v>
      </c>
      <c r="D219" s="49" t="str">
        <f>SERTIFIKASI_ALAT[[#This Row],[DESCRIPTION]]</f>
        <v>SWIPEL</v>
      </c>
      <c r="E219" s="52">
        <v>2.5</v>
      </c>
      <c r="F219" s="52" t="s">
        <v>502</v>
      </c>
      <c r="G219" s="59">
        <v>46633</v>
      </c>
      <c r="H219" s="61" t="s">
        <v>411</v>
      </c>
      <c r="I219" s="59">
        <v>46268</v>
      </c>
      <c r="J219" s="59">
        <f t="shared" si="7"/>
        <v>46619</v>
      </c>
      <c r="K219" s="79"/>
      <c r="L219" s="49">
        <v>4010392940</v>
      </c>
      <c r="M219" s="52" t="s">
        <v>394</v>
      </c>
      <c r="N219" s="52" t="s">
        <v>512</v>
      </c>
      <c r="O219" s="54" t="s">
        <v>513</v>
      </c>
      <c r="P219" s="92"/>
    </row>
    <row r="220" spans="1:16" hidden="1">
      <c r="A220" s="90"/>
      <c r="B220" s="54" t="s">
        <v>359</v>
      </c>
      <c r="C220" s="76" t="s">
        <v>354</v>
      </c>
      <c r="D220" s="49" t="str">
        <f>SERTIFIKASI_ALAT[[#This Row],[DESCRIPTION]]</f>
        <v>SWIPEL</v>
      </c>
      <c r="E220" s="52">
        <v>2.5</v>
      </c>
      <c r="F220" s="52" t="s">
        <v>502</v>
      </c>
      <c r="G220" s="59">
        <v>46633</v>
      </c>
      <c r="H220" s="61" t="s">
        <v>411</v>
      </c>
      <c r="I220" s="59">
        <v>46268</v>
      </c>
      <c r="J220" s="59">
        <f t="shared" si="7"/>
        <v>46619</v>
      </c>
      <c r="K220" s="79"/>
      <c r="L220" s="49">
        <v>4010392940</v>
      </c>
      <c r="M220" s="52" t="s">
        <v>394</v>
      </c>
      <c r="N220" s="52" t="s">
        <v>512</v>
      </c>
      <c r="O220" s="54" t="s">
        <v>513</v>
      </c>
      <c r="P220" s="92"/>
    </row>
    <row r="221" spans="1:16" hidden="1">
      <c r="A221" s="90"/>
      <c r="B221" s="54" t="s">
        <v>360</v>
      </c>
      <c r="C221" s="76" t="s">
        <v>354</v>
      </c>
      <c r="D221" s="49" t="str">
        <f>SERTIFIKASI_ALAT[[#This Row],[DESCRIPTION]]</f>
        <v>SWIPEL</v>
      </c>
      <c r="E221" s="52">
        <v>4</v>
      </c>
      <c r="F221" s="52" t="s">
        <v>504</v>
      </c>
      <c r="G221" s="59">
        <v>46633</v>
      </c>
      <c r="H221" s="61" t="s">
        <v>411</v>
      </c>
      <c r="I221" s="59">
        <v>46268</v>
      </c>
      <c r="J221" s="59">
        <f t="shared" ref="J221:J231" si="8">G221-14</f>
        <v>46619</v>
      </c>
      <c r="K221" s="79"/>
      <c r="L221" s="49">
        <v>4010392940</v>
      </c>
      <c r="M221" s="52" t="s">
        <v>394</v>
      </c>
      <c r="N221" s="52" t="s">
        <v>512</v>
      </c>
      <c r="O221" s="54" t="s">
        <v>513</v>
      </c>
      <c r="P221" s="92"/>
    </row>
    <row r="222" spans="1:16" hidden="1">
      <c r="A222" s="90"/>
      <c r="B222" s="54" t="s">
        <v>361</v>
      </c>
      <c r="C222" s="76" t="s">
        <v>354</v>
      </c>
      <c r="D222" s="49" t="str">
        <f>SERTIFIKASI_ALAT[[#This Row],[DESCRIPTION]]</f>
        <v>SWIPEL</v>
      </c>
      <c r="E222" s="52">
        <v>4</v>
      </c>
      <c r="F222" s="52" t="s">
        <v>504</v>
      </c>
      <c r="G222" s="59">
        <v>46633</v>
      </c>
      <c r="H222" s="61" t="s">
        <v>411</v>
      </c>
      <c r="I222" s="59">
        <v>46268</v>
      </c>
      <c r="J222" s="59">
        <f t="shared" si="8"/>
        <v>46619</v>
      </c>
      <c r="K222" s="79"/>
      <c r="L222" s="49">
        <v>4010392940</v>
      </c>
      <c r="M222" s="52" t="s">
        <v>394</v>
      </c>
      <c r="N222" s="52" t="s">
        <v>512</v>
      </c>
      <c r="O222" s="54" t="s">
        <v>513</v>
      </c>
      <c r="P222" s="92"/>
    </row>
    <row r="223" spans="1:16" hidden="1">
      <c r="A223" s="90"/>
      <c r="B223" s="54" t="s">
        <v>362</v>
      </c>
      <c r="C223" s="76" t="s">
        <v>354</v>
      </c>
      <c r="D223" s="49" t="str">
        <f>SERTIFIKASI_ALAT[[#This Row],[DESCRIPTION]]</f>
        <v>SWIPEL</v>
      </c>
      <c r="E223" s="52">
        <v>4</v>
      </c>
      <c r="F223" s="52" t="s">
        <v>504</v>
      </c>
      <c r="G223" s="59">
        <v>46633</v>
      </c>
      <c r="H223" s="61" t="s">
        <v>411</v>
      </c>
      <c r="I223" s="59">
        <v>46268</v>
      </c>
      <c r="J223" s="59">
        <f t="shared" si="8"/>
        <v>46619</v>
      </c>
      <c r="K223" s="79"/>
      <c r="L223" s="49">
        <v>4010392940</v>
      </c>
      <c r="M223" s="52" t="s">
        <v>394</v>
      </c>
      <c r="N223" s="52" t="s">
        <v>512</v>
      </c>
      <c r="O223" s="54" t="s">
        <v>513</v>
      </c>
      <c r="P223" s="92"/>
    </row>
    <row r="224" spans="1:16" hidden="1">
      <c r="A224" s="90"/>
      <c r="B224" s="54" t="s">
        <v>127</v>
      </c>
      <c r="C224" s="64" t="s">
        <v>514</v>
      </c>
      <c r="D224" s="66" t="s">
        <v>117</v>
      </c>
      <c r="E224" s="49">
        <v>1.8</v>
      </c>
      <c r="F224" s="66"/>
      <c r="G224" s="59">
        <v>46633</v>
      </c>
      <c r="H224" s="59" t="s">
        <v>411</v>
      </c>
      <c r="I224" s="59">
        <v>46268</v>
      </c>
      <c r="J224" s="59">
        <f t="shared" si="8"/>
        <v>46619</v>
      </c>
      <c r="K224" s="79"/>
      <c r="L224" s="49">
        <v>4010392940</v>
      </c>
      <c r="M224" s="49"/>
      <c r="N224" s="49"/>
      <c r="O224" s="49"/>
      <c r="P224" s="95"/>
    </row>
    <row r="225" spans="1:16" s="78" customFormat="1" hidden="1">
      <c r="A225" s="90"/>
      <c r="B225" s="54" t="s">
        <v>249</v>
      </c>
      <c r="C225" s="51" t="s">
        <v>250</v>
      </c>
      <c r="D225" s="49" t="str">
        <f>SERTIFIKASI_ALAT[[#This Row],[DESCRIPTION]]</f>
        <v>SCISSOR LIFT</v>
      </c>
      <c r="E225" s="49">
        <v>6</v>
      </c>
      <c r="F225" s="49"/>
      <c r="G225" s="59">
        <v>46633</v>
      </c>
      <c r="H225" s="59" t="s">
        <v>411</v>
      </c>
      <c r="I225" s="56">
        <v>45909</v>
      </c>
      <c r="J225" s="59">
        <f t="shared" si="8"/>
        <v>46619</v>
      </c>
      <c r="K225" s="79"/>
      <c r="L225" s="49">
        <v>4010392940</v>
      </c>
      <c r="M225" s="49"/>
      <c r="N225" s="49"/>
      <c r="O225" s="49"/>
      <c r="P225" s="93"/>
    </row>
    <row r="226" spans="1:16" s="78" customFormat="1" hidden="1">
      <c r="A226" s="90"/>
      <c r="B226" s="54" t="s">
        <v>155</v>
      </c>
      <c r="C226" s="51" t="s">
        <v>156</v>
      </c>
      <c r="D226" s="49" t="str">
        <f>SERTIFIKASI_ALAT[[#This Row],[DESCRIPTION]]</f>
        <v xml:space="preserve">JACK BOTTLE </v>
      </c>
      <c r="E226" s="49">
        <v>12</v>
      </c>
      <c r="F226" s="49"/>
      <c r="G226" s="59">
        <v>46633</v>
      </c>
      <c r="H226" s="59" t="s">
        <v>411</v>
      </c>
      <c r="I226" s="59">
        <v>46268</v>
      </c>
      <c r="J226" s="59">
        <f t="shared" si="8"/>
        <v>46619</v>
      </c>
      <c r="K226" s="79"/>
      <c r="L226" s="49">
        <v>4010392940</v>
      </c>
      <c r="M226" s="49"/>
      <c r="N226" s="49"/>
      <c r="O226" s="49"/>
      <c r="P226" s="93"/>
    </row>
    <row r="227" spans="1:16" s="78" customFormat="1" hidden="1">
      <c r="A227" s="90"/>
      <c r="B227" s="54" t="s">
        <v>270</v>
      </c>
      <c r="C227" s="51" t="s">
        <v>271</v>
      </c>
      <c r="D227" s="49" t="str">
        <f>SERTIFIKASI_ALAT[[#This Row],[DESCRIPTION]]</f>
        <v xml:space="preserve">STAND ENGINE </v>
      </c>
      <c r="E227" s="49">
        <v>8</v>
      </c>
      <c r="F227" s="49"/>
      <c r="G227" s="59">
        <v>46633</v>
      </c>
      <c r="H227" s="59" t="s">
        <v>411</v>
      </c>
      <c r="I227" s="59">
        <v>46268</v>
      </c>
      <c r="J227" s="59">
        <f t="shared" si="8"/>
        <v>46619</v>
      </c>
      <c r="K227" s="79"/>
      <c r="L227" s="49">
        <v>4010392940</v>
      </c>
      <c r="M227" s="49"/>
      <c r="N227" s="49"/>
      <c r="O227" s="49"/>
      <c r="P227" s="93"/>
    </row>
    <row r="228" spans="1:16" s="78" customFormat="1" hidden="1">
      <c r="A228" s="90"/>
      <c r="B228" s="54" t="s">
        <v>272</v>
      </c>
      <c r="C228" s="51" t="s">
        <v>271</v>
      </c>
      <c r="D228" s="49" t="str">
        <f>SERTIFIKASI_ALAT[[#This Row],[DESCRIPTION]]</f>
        <v xml:space="preserve">STAND ENGINE </v>
      </c>
      <c r="E228" s="49">
        <v>8</v>
      </c>
      <c r="F228" s="49"/>
      <c r="G228" s="59">
        <v>46633</v>
      </c>
      <c r="H228" s="59" t="s">
        <v>411</v>
      </c>
      <c r="I228" s="59">
        <v>46268</v>
      </c>
      <c r="J228" s="59">
        <f t="shared" si="8"/>
        <v>46619</v>
      </c>
      <c r="K228" s="79"/>
      <c r="L228" s="49">
        <v>4010392940</v>
      </c>
      <c r="M228" s="49"/>
      <c r="N228" s="49"/>
      <c r="O228" s="49"/>
      <c r="P228" s="93"/>
    </row>
    <row r="229" spans="1:16" hidden="1">
      <c r="A229" s="90"/>
      <c r="B229" s="54" t="s">
        <v>273</v>
      </c>
      <c r="C229" s="51" t="s">
        <v>271</v>
      </c>
      <c r="D229" s="49" t="str">
        <f>SERTIFIKASI_ALAT[[#This Row],[DESCRIPTION]]</f>
        <v xml:space="preserve">STAND ENGINE </v>
      </c>
      <c r="E229" s="49">
        <v>8</v>
      </c>
      <c r="F229" s="49"/>
      <c r="G229" s="59">
        <v>46633</v>
      </c>
      <c r="H229" s="59" t="s">
        <v>411</v>
      </c>
      <c r="I229" s="59">
        <v>46268</v>
      </c>
      <c r="J229" s="59">
        <f t="shared" si="8"/>
        <v>46619</v>
      </c>
      <c r="K229" s="79"/>
      <c r="L229" s="49">
        <v>4010392940</v>
      </c>
      <c r="M229" s="49"/>
      <c r="N229" s="49"/>
      <c r="O229" s="49"/>
      <c r="P229" s="93"/>
    </row>
    <row r="230" spans="1:16" hidden="1">
      <c r="A230" s="90"/>
      <c r="B230" s="54" t="s">
        <v>274</v>
      </c>
      <c r="C230" s="51" t="s">
        <v>271</v>
      </c>
      <c r="D230" s="49" t="str">
        <f>SERTIFIKASI_ALAT[[#This Row],[DESCRIPTION]]</f>
        <v xml:space="preserve">STAND ENGINE </v>
      </c>
      <c r="E230" s="49">
        <v>8</v>
      </c>
      <c r="F230" s="49"/>
      <c r="G230" s="59">
        <v>46633</v>
      </c>
      <c r="H230" s="59" t="s">
        <v>411</v>
      </c>
      <c r="I230" s="59">
        <v>46268</v>
      </c>
      <c r="J230" s="59">
        <f t="shared" si="8"/>
        <v>46619</v>
      </c>
      <c r="K230" s="79"/>
      <c r="L230" s="49">
        <v>4010392940</v>
      </c>
      <c r="M230" s="49"/>
      <c r="N230" s="49"/>
      <c r="O230" s="49"/>
      <c r="P230" s="93"/>
    </row>
    <row r="231" spans="1:16" hidden="1">
      <c r="A231" s="90"/>
      <c r="B231" s="54" t="s">
        <v>153</v>
      </c>
      <c r="C231" s="51" t="s">
        <v>154</v>
      </c>
      <c r="D231" s="49" t="str">
        <f>SERTIFIKASI_ALAT[[#This Row],[DESCRIPTION]]</f>
        <v>HYDRAULIC JACK</v>
      </c>
      <c r="E231" s="49">
        <v>100</v>
      </c>
      <c r="F231" s="49"/>
      <c r="G231" s="59">
        <v>46633</v>
      </c>
      <c r="H231" s="59" t="s">
        <v>411</v>
      </c>
      <c r="I231" s="56">
        <v>46268</v>
      </c>
      <c r="J231" s="59">
        <f t="shared" si="8"/>
        <v>46619</v>
      </c>
      <c r="K231" s="79"/>
      <c r="L231" s="49">
        <v>4010392940</v>
      </c>
      <c r="M231" s="49" t="s">
        <v>418</v>
      </c>
      <c r="N231" s="49" t="s">
        <v>515</v>
      </c>
      <c r="O231" s="49"/>
      <c r="P231" s="93"/>
    </row>
    <row r="232" spans="1:16" ht="15" customHeight="1">
      <c r="A232" s="90"/>
      <c r="B232" s="54" t="s">
        <v>149</v>
      </c>
      <c r="C232" s="51" t="s">
        <v>139</v>
      </c>
      <c r="D232" s="66" t="s">
        <v>139</v>
      </c>
      <c r="E232" s="49">
        <v>3</v>
      </c>
      <c r="F232" s="49"/>
      <c r="G232" s="61">
        <v>46612</v>
      </c>
      <c r="H232" s="59" t="s">
        <v>411</v>
      </c>
      <c r="I232" s="61">
        <v>46247</v>
      </c>
      <c r="J232" s="59">
        <f>G232-14</f>
        <v>46598</v>
      </c>
      <c r="K232" s="79"/>
      <c r="L232" s="79"/>
      <c r="M232" s="49"/>
      <c r="N232" s="49"/>
      <c r="O232" s="49"/>
      <c r="P232" s="93"/>
    </row>
    <row r="233" spans="1:16" ht="15" customHeight="1">
      <c r="A233" s="90"/>
      <c r="B233" s="50" t="s">
        <v>151</v>
      </c>
      <c r="C233" s="51" t="s">
        <v>139</v>
      </c>
      <c r="D233" s="66" t="s">
        <v>139</v>
      </c>
      <c r="E233" s="49">
        <v>3</v>
      </c>
      <c r="F233" s="49"/>
      <c r="G233" s="61">
        <v>46612</v>
      </c>
      <c r="H233" s="59" t="s">
        <v>411</v>
      </c>
      <c r="I233" s="61">
        <v>46247</v>
      </c>
      <c r="J233" s="59">
        <f>G233-14</f>
        <v>46598</v>
      </c>
      <c r="K233" s="79"/>
      <c r="L233" s="79"/>
      <c r="M233" s="49"/>
      <c r="N233" s="49"/>
      <c r="O233" s="49"/>
      <c r="P233" s="93"/>
    </row>
    <row r="234" spans="1:16" ht="15" customHeight="1">
      <c r="A234" s="90"/>
      <c r="B234" s="161" t="s">
        <v>71</v>
      </c>
      <c r="C234" s="51" t="s">
        <v>516</v>
      </c>
      <c r="D234" s="49" t="s">
        <v>66</v>
      </c>
      <c r="E234" s="49">
        <v>2.25</v>
      </c>
      <c r="F234" s="49"/>
      <c r="G234" s="61">
        <v>46631</v>
      </c>
      <c r="H234" s="59" t="s">
        <v>411</v>
      </c>
      <c r="I234" s="61">
        <v>46266</v>
      </c>
      <c r="J234" s="59"/>
      <c r="K234" s="79"/>
      <c r="L234" s="79"/>
      <c r="M234" s="49"/>
      <c r="N234" s="49"/>
      <c r="O234" s="49"/>
      <c r="P234" s="93"/>
    </row>
    <row r="235" spans="1:16">
      <c r="A235" s="90"/>
      <c r="B235" s="54" t="s">
        <v>157</v>
      </c>
      <c r="C235" s="51" t="s">
        <v>156</v>
      </c>
      <c r="D235" s="49" t="s">
        <v>156</v>
      </c>
      <c r="E235" s="49">
        <v>12</v>
      </c>
      <c r="F235" s="49"/>
      <c r="G235" s="56"/>
      <c r="H235" s="59"/>
      <c r="I235" s="59"/>
      <c r="J235" s="59">
        <f>G235-14</f>
        <v>-14</v>
      </c>
      <c r="K235" s="79"/>
      <c r="L235" s="49"/>
      <c r="M235" s="49"/>
      <c r="N235" s="49"/>
      <c r="O235" s="49"/>
      <c r="P235" s="93"/>
    </row>
    <row r="236" spans="1:16" s="78" customFormat="1">
      <c r="A236" s="112"/>
      <c r="B236" s="54" t="s">
        <v>330</v>
      </c>
      <c r="C236" s="76" t="s">
        <v>276</v>
      </c>
      <c r="D236" s="52"/>
      <c r="E236" s="52">
        <v>20</v>
      </c>
      <c r="F236" s="52"/>
      <c r="G236" s="59">
        <v>46268</v>
      </c>
      <c r="H236" s="59" t="s">
        <v>411</v>
      </c>
      <c r="I236" s="59"/>
      <c r="J236" s="59"/>
      <c r="K236" s="79">
        <v>1010280232</v>
      </c>
      <c r="L236" s="79">
        <v>4010359799</v>
      </c>
      <c r="M236" s="52" t="s">
        <v>418</v>
      </c>
      <c r="N236" s="52" t="s">
        <v>423</v>
      </c>
      <c r="O236" s="52"/>
      <c r="P236" s="94" t="s">
        <v>517</v>
      </c>
    </row>
    <row r="237" spans="1:16" s="78" customFormat="1">
      <c r="A237" s="112"/>
      <c r="B237" s="54" t="s">
        <v>331</v>
      </c>
      <c r="C237" s="76" t="s">
        <v>276</v>
      </c>
      <c r="D237" s="52"/>
      <c r="E237" s="52">
        <v>20</v>
      </c>
      <c r="F237" s="52"/>
      <c r="G237" s="59">
        <v>46268</v>
      </c>
      <c r="H237" s="59" t="s">
        <v>411</v>
      </c>
      <c r="I237" s="59"/>
      <c r="J237" s="59"/>
      <c r="K237" s="79">
        <v>1010280232</v>
      </c>
      <c r="L237" s="79">
        <v>4010359799</v>
      </c>
      <c r="M237" s="52" t="s">
        <v>418</v>
      </c>
      <c r="N237" s="52"/>
      <c r="O237" s="52"/>
      <c r="P237" s="94" t="s">
        <v>518</v>
      </c>
    </row>
    <row r="238" spans="1:16" s="78" customFormat="1">
      <c r="A238" s="112"/>
      <c r="B238" s="54" t="s">
        <v>332</v>
      </c>
      <c r="C238" s="76" t="s">
        <v>276</v>
      </c>
      <c r="D238" s="52"/>
      <c r="E238" s="52">
        <v>20</v>
      </c>
      <c r="F238" s="52"/>
      <c r="G238" s="59">
        <v>46268</v>
      </c>
      <c r="H238" s="59" t="s">
        <v>411</v>
      </c>
      <c r="I238" s="59"/>
      <c r="J238" s="59"/>
      <c r="K238" s="79">
        <v>1010280232</v>
      </c>
      <c r="L238" s="79">
        <v>4010359799</v>
      </c>
      <c r="M238" s="52" t="s">
        <v>418</v>
      </c>
      <c r="N238" s="52"/>
      <c r="O238" s="52"/>
      <c r="P238" s="94" t="s">
        <v>519</v>
      </c>
    </row>
    <row r="239" spans="1:16" s="78" customFormat="1">
      <c r="A239" s="112"/>
      <c r="B239" s="54" t="s">
        <v>333</v>
      </c>
      <c r="C239" s="76" t="s">
        <v>276</v>
      </c>
      <c r="D239" s="52"/>
      <c r="E239" s="52">
        <v>20</v>
      </c>
      <c r="F239" s="52"/>
      <c r="G239" s="59">
        <v>46268</v>
      </c>
      <c r="H239" s="59" t="s">
        <v>411</v>
      </c>
      <c r="I239" s="59"/>
      <c r="J239" s="59"/>
      <c r="K239" s="79">
        <v>1010280232</v>
      </c>
      <c r="L239" s="79">
        <v>4010359799</v>
      </c>
      <c r="M239" s="52" t="s">
        <v>418</v>
      </c>
      <c r="N239" s="52"/>
      <c r="O239" s="52"/>
      <c r="P239" s="94" t="s">
        <v>520</v>
      </c>
    </row>
    <row r="240" spans="1:16" s="78" customFormat="1">
      <c r="A240" s="112"/>
      <c r="B240" s="54" t="s">
        <v>334</v>
      </c>
      <c r="C240" s="76" t="s">
        <v>276</v>
      </c>
      <c r="D240" s="52"/>
      <c r="E240" s="52">
        <v>20</v>
      </c>
      <c r="F240" s="52"/>
      <c r="G240" s="59">
        <v>46268</v>
      </c>
      <c r="H240" s="59" t="s">
        <v>411</v>
      </c>
      <c r="I240" s="59"/>
      <c r="J240" s="59"/>
      <c r="K240" s="79">
        <v>1010280232</v>
      </c>
      <c r="L240" s="79">
        <v>4010359799</v>
      </c>
      <c r="M240" s="52" t="s">
        <v>418</v>
      </c>
      <c r="N240" s="52"/>
      <c r="O240" s="52"/>
      <c r="P240" s="94" t="s">
        <v>521</v>
      </c>
    </row>
    <row r="241" spans="1:16" s="78" customFormat="1">
      <c r="A241" s="112"/>
      <c r="B241" s="54" t="s">
        <v>335</v>
      </c>
      <c r="C241" s="76" t="s">
        <v>276</v>
      </c>
      <c r="D241" s="52"/>
      <c r="E241" s="52">
        <v>20</v>
      </c>
      <c r="F241" s="52"/>
      <c r="G241" s="59">
        <v>46268</v>
      </c>
      <c r="H241" s="59" t="s">
        <v>411</v>
      </c>
      <c r="I241" s="59"/>
      <c r="J241" s="59"/>
      <c r="K241" s="79">
        <v>1010280232</v>
      </c>
      <c r="L241" s="79">
        <v>4010359799</v>
      </c>
      <c r="M241" s="52" t="s">
        <v>418</v>
      </c>
      <c r="N241" s="52"/>
      <c r="O241" s="52"/>
      <c r="P241" s="94" t="s">
        <v>522</v>
      </c>
    </row>
    <row r="242" spans="1:16" s="78" customFormat="1">
      <c r="A242" s="112"/>
      <c r="B242" s="54" t="s">
        <v>336</v>
      </c>
      <c r="C242" s="76" t="s">
        <v>276</v>
      </c>
      <c r="D242" s="52"/>
      <c r="E242" s="52">
        <v>20</v>
      </c>
      <c r="F242" s="52"/>
      <c r="G242" s="59">
        <v>46268</v>
      </c>
      <c r="H242" s="59" t="s">
        <v>411</v>
      </c>
      <c r="I242" s="59"/>
      <c r="J242" s="59"/>
      <c r="K242" s="79">
        <v>1010280232</v>
      </c>
      <c r="L242" s="79">
        <v>4010359799</v>
      </c>
      <c r="M242" s="52" t="s">
        <v>418</v>
      </c>
      <c r="N242" s="52" t="s">
        <v>423</v>
      </c>
      <c r="O242" s="52"/>
      <c r="P242" s="94" t="s">
        <v>523</v>
      </c>
    </row>
    <row r="243" spans="1:16" s="78" customFormat="1">
      <c r="A243" s="112"/>
      <c r="B243" s="54" t="s">
        <v>337</v>
      </c>
      <c r="C243" s="76" t="s">
        <v>276</v>
      </c>
      <c r="D243" s="52"/>
      <c r="E243" s="52">
        <v>20</v>
      </c>
      <c r="F243" s="52"/>
      <c r="G243" s="59">
        <v>46268</v>
      </c>
      <c r="H243" s="59" t="s">
        <v>411</v>
      </c>
      <c r="I243" s="59"/>
      <c r="J243" s="59"/>
      <c r="K243" s="79">
        <v>1010280232</v>
      </c>
      <c r="L243" s="79">
        <v>4010359799</v>
      </c>
      <c r="M243" s="52" t="s">
        <v>418</v>
      </c>
      <c r="N243" s="52" t="s">
        <v>423</v>
      </c>
      <c r="O243" s="52"/>
      <c r="P243" s="94" t="s">
        <v>524</v>
      </c>
    </row>
    <row r="244" spans="1:16" s="78" customFormat="1">
      <c r="A244" s="112"/>
      <c r="B244" s="54" t="s">
        <v>338</v>
      </c>
      <c r="C244" s="76" t="s">
        <v>276</v>
      </c>
      <c r="D244" s="52"/>
      <c r="E244" s="52">
        <v>60</v>
      </c>
      <c r="F244" s="52"/>
      <c r="G244" s="59">
        <v>46268</v>
      </c>
      <c r="H244" s="59" t="s">
        <v>411</v>
      </c>
      <c r="I244" s="59"/>
      <c r="J244" s="59"/>
      <c r="K244" s="79">
        <v>1010280232</v>
      </c>
      <c r="L244" s="79">
        <v>4010359799</v>
      </c>
      <c r="M244" s="52" t="s">
        <v>418</v>
      </c>
      <c r="N244" s="52" t="s">
        <v>525</v>
      </c>
      <c r="O244" s="52"/>
      <c r="P244" s="94" t="s">
        <v>526</v>
      </c>
    </row>
  </sheetData>
  <phoneticPr fontId="18" type="noConversion"/>
  <conditionalFormatting sqref="B1:B1048576">
    <cfRule type="duplicateValues" dxfId="20" priority="13"/>
  </conditionalFormatting>
  <conditionalFormatting sqref="H121:H125 H126:I1048576">
    <cfRule type="containsText" dxfId="19" priority="14" operator="containsText" text="AKTIF">
      <formula>NOT(ISERROR(SEARCH("AKTIF",H121)))</formula>
    </cfRule>
    <cfRule type="containsText" dxfId="18" priority="15" operator="containsText" text="EXPIRED">
      <formula>NOT(ISERROR(SEARCH("EXPIRED",H121)))</formula>
    </cfRule>
  </conditionalFormatting>
  <conditionalFormatting sqref="H1:I6 H7 H8:I120 G126">
    <cfRule type="containsText" dxfId="17" priority="10" operator="containsText" text="EXPIRED">
      <formula>NOT(ISERROR(SEARCH("EXPIRED",G1)))</formula>
    </cfRule>
  </conditionalFormatting>
  <conditionalFormatting sqref="H8:I120 H1:I6 H7 G126">
    <cfRule type="containsText" dxfId="16" priority="9" operator="containsText" text="AKTIF">
      <formula>NOT(ISERROR(SEARCH("AKTIF",G1)))</formula>
    </cfRule>
  </conditionalFormatting>
  <conditionalFormatting sqref="H13:I13 H16:I16 G229">
    <cfRule type="containsText" dxfId="15" priority="7" operator="containsText" text="AKTIF">
      <formula>NOT(ISERROR(SEARCH("AKTIF",G13)))</formula>
    </cfRule>
    <cfRule type="containsText" dxfId="14" priority="8" operator="containsText" text="EXPIRED">
      <formula>NOT(ISERROR(SEARCH("EXPIRED",G13)))</formula>
    </cfRule>
  </conditionalFormatting>
  <conditionalFormatting sqref="O9:O10">
    <cfRule type="containsText" dxfId="13" priority="1" operator="containsText" text="AKTIF">
      <formula>NOT(ISERROR(SEARCH("AKTIF",O9)))</formula>
    </cfRule>
    <cfRule type="containsText" dxfId="12" priority="2" operator="containsText" text="EXPIRED">
      <formula>NOT(ISERROR(SEARCH("EXPIRED",O9)))</formula>
    </cfRule>
  </conditionalFormatting>
  <hyperlinks>
    <hyperlink ref="P105" r:id="rId1" xr:uid="{70AE146A-D7F4-4F9F-987C-B4DAFCF9B9A7}"/>
    <hyperlink ref="P106" r:id="rId2" xr:uid="{D7233B5D-6A3A-4BE9-8079-BC522120D15F}"/>
    <hyperlink ref="P104" r:id="rId3" xr:uid="{A875F242-3181-4F29-AD15-01881BBD46B9}"/>
    <hyperlink ref="P115" r:id="rId4" xr:uid="{C65D7213-5291-47D0-A273-FB7D7C295C0C}"/>
    <hyperlink ref="P124" r:id="rId5" xr:uid="{08C7F896-C103-40DE-AC07-6E7DCAC3EC99}"/>
    <hyperlink ref="P6" r:id="rId6" xr:uid="{5D8D041F-DA9D-4AD7-934B-90DE399151F4}"/>
    <hyperlink ref="P128" r:id="rId7" xr:uid="{0BF8B90B-A843-4F23-8B85-B7E1E6A397A8}"/>
    <hyperlink ref="P129" r:id="rId8" xr:uid="{A5896F85-9CD4-43D4-8543-5C089705B467}"/>
    <hyperlink ref="P102" r:id="rId9" display="OCAB03001" xr:uid="{0C4AC778-3C27-415B-8882-EA0C04C57AFC}"/>
    <hyperlink ref="P120" r:id="rId10" xr:uid="{5293D0C6-BF2F-4969-AB9D-A35471276A41}"/>
    <hyperlink ref="P46" r:id="rId11" xr:uid="{4413CBC6-DBFA-4B67-99C4-0725D777577C}"/>
    <hyperlink ref="P236" r:id="rId12" xr:uid="{38CD27AF-190E-46D4-AA8E-38D7DA5A3265}"/>
    <hyperlink ref="P47" r:id="rId13" xr:uid="{ACC1CCBF-DE10-4FAC-A8A0-08030AF12B0A}"/>
    <hyperlink ref="P48" r:id="rId14" xr:uid="{99BB0F89-D364-4DC4-9BF3-6460D33B38ED}"/>
    <hyperlink ref="P237" r:id="rId15" xr:uid="{2805CCAE-AD5D-4C99-93EC-C8B0357764CD}"/>
    <hyperlink ref="P49" r:id="rId16" xr:uid="{98DF4FC8-6F4D-4E0E-85E6-70D6B927F2A3}"/>
    <hyperlink ref="P238" r:id="rId17" xr:uid="{BF55C0BF-15B1-455E-A628-30D619FE8D5F}"/>
    <hyperlink ref="P50" r:id="rId18" xr:uid="{1ED3DD25-5040-4184-AB1D-A2417B7B49D1}"/>
    <hyperlink ref="P239" r:id="rId19" xr:uid="{C076BE5B-70D5-439C-8962-46BAFEEEC8FF}"/>
    <hyperlink ref="P41" r:id="rId20" xr:uid="{45E38E49-7C72-4793-92CD-2D7C95DC4164}"/>
    <hyperlink ref="P240" r:id="rId21" xr:uid="{C47621F3-8537-4C0A-AB5C-E28FAAEB1162}"/>
    <hyperlink ref="P241" r:id="rId22" xr:uid="{DD2E7A8B-91B6-41BD-84AF-713F70ECCC45}"/>
    <hyperlink ref="P52" r:id="rId23" xr:uid="{F0ADFEA5-9BF9-4D53-A349-CBF1F030D8EB}"/>
    <hyperlink ref="P242" r:id="rId24" xr:uid="{377A3783-1692-4529-A538-CE51EE0D0709}"/>
    <hyperlink ref="P243" r:id="rId25" xr:uid="{2902D061-0532-4EB5-8059-AE2715859B9B}"/>
    <hyperlink ref="P244" r:id="rId26" xr:uid="{FA1671E2-9C2C-42D6-AAFA-1CA63C379719}"/>
    <hyperlink ref="P43" r:id="rId27" xr:uid="{516050F2-A0B1-4BF4-B07E-452EFC19B6AE}"/>
    <hyperlink ref="P44" r:id="rId28" xr:uid="{D62C0473-5FD8-4C89-9869-5E127BC92F80}"/>
    <hyperlink ref="P121" r:id="rId29" display="BRC - ETF - 02" xr:uid="{AE0D1CDB-23F3-4980-8627-B8B30845D13F}"/>
    <hyperlink ref="P53" r:id="rId30" xr:uid="{712D2A8A-962D-47DE-A366-5D506DCE176E}"/>
    <hyperlink ref="P54" r:id="rId31" xr:uid="{7DFF0380-6BE9-476E-BE2F-ECCFA6BF2E63}"/>
    <hyperlink ref="P55" r:id="rId32" xr:uid="{01DD710C-6B3B-42F7-8F69-F447E13646D3}"/>
    <hyperlink ref="P56" r:id="rId33" xr:uid="{A830F32C-8E1F-4571-9727-60BF89025660}"/>
    <hyperlink ref="P57" r:id="rId34" xr:uid="{0AD4638E-FD26-4731-8BBA-57495949E1BC}"/>
    <hyperlink ref="P58" r:id="rId35" xr:uid="{1EC9249C-91D0-4AD1-A519-DC61ECFA5D8C}"/>
    <hyperlink ref="P59" r:id="rId36" xr:uid="{8C427F7F-E34F-4D1B-9995-B07E7CDE6328}"/>
    <hyperlink ref="P60" r:id="rId37" xr:uid="{120C4CE9-36A2-44FC-AA34-E8E925571070}"/>
    <hyperlink ref="P61" r:id="rId38" xr:uid="{68D27FCF-092B-412F-82BC-75B5F43C6D3D}"/>
    <hyperlink ref="P63" r:id="rId39" xr:uid="{818A9688-627B-40EE-838B-CEC474D040B6}"/>
    <hyperlink ref="P64" r:id="rId40" xr:uid="{1A1E39DC-309C-41E9-BD59-0BC254EA9EAD}"/>
    <hyperlink ref="P65" r:id="rId41" xr:uid="{C4E2059A-7EE2-4F67-B9D4-CFACFCF85B5A}"/>
    <hyperlink ref="P99" r:id="rId42" display="WCAB05002" xr:uid="{231BD5DA-FE65-4380-94F7-CDBA2517BED4}"/>
    <hyperlink ref="P98" r:id="rId43" display="LAMPIRAN PDF\Wall Travelling Jib Crane 7702.pdf" xr:uid="{5BC09DD4-0DA9-4A65-B759-43C3C98A21B8}"/>
    <hyperlink ref="P97" r:id="rId44" display="LAMPIRAN PDF\Wall Travelling Jib Crane 7705.pdf" xr:uid="{97E2C3FE-7A28-42F6-901B-A7BCBA0972D1}"/>
    <hyperlink ref="P101" r:id="rId45" display="LAMPIRAN PDF\Wall Travelling Jib Crane 7706.pdf" xr:uid="{80A76516-1291-42D7-AFA0-845D7C6F9E34}"/>
    <hyperlink ref="P100" r:id="rId46" display="LAMPIRAN PDF\Wall Travelling Jib Crane 7707.pdf" xr:uid="{21B436BD-56C2-49CD-9A6D-6E8FED592589}"/>
    <hyperlink ref="P5" r:id="rId47" xr:uid="{8E803CEB-2E9E-4094-A809-9A5DF56B88EF}"/>
    <hyperlink ref="P118" r:id="rId48" display="BRC - ETF - 01" xr:uid="{F0B31A00-98AD-43E0-B299-3CD8F0F9BD1A}"/>
    <hyperlink ref="P119" r:id="rId49" xr:uid="{99BEDE64-BC99-436F-A2B5-5CD7347F8DE0}"/>
    <hyperlink ref="P122" r:id="rId50" xr:uid="{DE987D96-7E56-4F75-B04A-267D9549B7CB}"/>
    <hyperlink ref="P123" r:id="rId51" xr:uid="{E20C3E38-0E27-4C8D-9EDF-70F237327D49}"/>
    <hyperlink ref="P51" r:id="rId52" xr:uid="{44506300-EA74-4351-B96A-AA994724E9E7}"/>
  </hyperlinks>
  <pageMargins left="0.74803149606299213" right="0.74803149606299213" top="0.98425196850393704" bottom="0.98425196850393704" header="0.51181102362204722" footer="0.51181102362204722"/>
  <pageSetup paperSize="9" scale="24" orientation="portrait" r:id="rId53"/>
  <tableParts count="1">
    <tablePart r:id="rId5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7CB8-37A8-4E0C-A0A8-A2C05F78BE54}">
  <dimension ref="A1:T61"/>
  <sheetViews>
    <sheetView topLeftCell="B1" zoomScale="70" zoomScaleNormal="70" workbookViewId="0">
      <pane ySplit="2" topLeftCell="A3" activePane="bottomLeft" state="frozen"/>
      <selection pane="bottomLeft" activeCell="D17" sqref="D17:D46"/>
    </sheetView>
  </sheetViews>
  <sheetFormatPr defaultColWidth="9" defaultRowHeight="13"/>
  <cols>
    <col min="1" max="1" width="14.90625" style="115" hidden="1" customWidth="1"/>
    <col min="2" max="2" width="6" style="115" customWidth="1"/>
    <col min="3" max="3" width="19.7265625" style="115" customWidth="1"/>
    <col min="4" max="4" width="44.08984375" style="115" customWidth="1"/>
    <col min="5" max="5" width="13.6328125" style="115" customWidth="1"/>
    <col min="6" max="6" width="17.90625" style="115" customWidth="1"/>
    <col min="7" max="7" width="14.08984375" style="131" customWidth="1"/>
    <col min="8" max="8" width="5.90625" style="115" customWidth="1"/>
    <col min="9" max="9" width="11.26953125" style="115" customWidth="1"/>
    <col min="10" max="10" width="18" style="115" customWidth="1"/>
    <col min="11" max="11" width="9.6328125" style="115" customWidth="1"/>
    <col min="12" max="12" width="11.36328125" style="115" customWidth="1"/>
    <col min="13" max="13" width="11.26953125" style="116" customWidth="1"/>
    <col min="14" max="14" width="9" style="116" customWidth="1"/>
    <col min="15" max="15" width="23.36328125" style="115" hidden="1" customWidth="1"/>
    <col min="16" max="16" width="30.90625" style="115" hidden="1" customWidth="1"/>
    <col min="17" max="18" width="0" style="115" hidden="1" customWidth="1"/>
    <col min="19" max="19" width="35.36328125" style="115" bestFit="1" customWidth="1"/>
    <col min="20" max="20" width="9.6328125" style="115" bestFit="1" customWidth="1"/>
    <col min="21" max="16384" width="9" style="115"/>
  </cols>
  <sheetData>
    <row r="1" spans="1:20" s="116" customFormat="1" ht="21.75" customHeight="1">
      <c r="B1" s="117" t="s">
        <v>527</v>
      </c>
      <c r="C1" s="144" t="s">
        <v>528</v>
      </c>
      <c r="D1" s="117" t="s">
        <v>529</v>
      </c>
      <c r="E1" s="117" t="s">
        <v>389</v>
      </c>
      <c r="F1" s="117" t="s">
        <v>530</v>
      </c>
      <c r="G1" s="142" t="s">
        <v>531</v>
      </c>
      <c r="H1" s="118" t="s">
        <v>532</v>
      </c>
      <c r="I1" s="119" t="s">
        <v>533</v>
      </c>
      <c r="J1" s="119" t="s">
        <v>8</v>
      </c>
      <c r="K1" s="119" t="s">
        <v>534</v>
      </c>
      <c r="L1" s="119" t="s">
        <v>535</v>
      </c>
      <c r="M1" s="119" t="s">
        <v>536</v>
      </c>
      <c r="N1" s="119" t="s">
        <v>537</v>
      </c>
      <c r="O1" s="120" t="s">
        <v>538</v>
      </c>
      <c r="P1" s="116" t="s">
        <v>539</v>
      </c>
      <c r="S1" s="122"/>
    </row>
    <row r="2" spans="1:20" ht="9" customHeight="1">
      <c r="B2" s="121"/>
      <c r="C2" s="145"/>
      <c r="D2" s="121"/>
      <c r="E2" s="121"/>
      <c r="F2" s="121"/>
      <c r="G2" s="143"/>
      <c r="H2" s="121"/>
      <c r="I2" s="118"/>
      <c r="J2" s="118"/>
      <c r="K2" s="118"/>
      <c r="L2" s="118"/>
      <c r="M2" s="118"/>
      <c r="N2" s="118"/>
      <c r="O2" s="141"/>
      <c r="S2" s="155"/>
    </row>
    <row r="3" spans="1:20">
      <c r="A3" s="115" t="str">
        <f t="shared" ref="A3:A34" si="0">D3</f>
        <v>MICRO METER     0 - 25        MM</v>
      </c>
      <c r="B3" s="122">
        <v>1</v>
      </c>
      <c r="C3" s="122" t="s">
        <v>540</v>
      </c>
      <c r="D3" s="147" t="s">
        <v>541</v>
      </c>
      <c r="E3" s="147" t="s">
        <v>542</v>
      </c>
      <c r="F3" s="147" t="s">
        <v>543</v>
      </c>
      <c r="G3" s="148">
        <v>46102</v>
      </c>
      <c r="H3" s="149">
        <v>1</v>
      </c>
      <c r="I3" s="149">
        <v>4010377451</v>
      </c>
      <c r="J3" s="149" t="s">
        <v>544</v>
      </c>
      <c r="K3" s="150"/>
      <c r="L3" s="150"/>
      <c r="M3" s="147"/>
      <c r="N3" s="147">
        <v>1</v>
      </c>
      <c r="O3" s="115" t="s">
        <v>545</v>
      </c>
      <c r="T3" s="139"/>
    </row>
    <row r="4" spans="1:20">
      <c r="A4" s="115" t="str">
        <f t="shared" si="0"/>
        <v>MICRO METER    25 - 50       MM</v>
      </c>
      <c r="B4" s="122">
        <v>2</v>
      </c>
      <c r="C4" s="122" t="s">
        <v>540</v>
      </c>
      <c r="D4" s="122" t="s">
        <v>546</v>
      </c>
      <c r="E4" s="122" t="s">
        <v>542</v>
      </c>
      <c r="F4" s="122" t="s">
        <v>547</v>
      </c>
      <c r="G4" s="129">
        <v>46102</v>
      </c>
      <c r="H4" s="124">
        <v>1</v>
      </c>
      <c r="I4" s="124">
        <v>4010377451</v>
      </c>
      <c r="J4" s="124" t="s">
        <v>544</v>
      </c>
      <c r="K4" s="123"/>
      <c r="L4" s="123"/>
      <c r="M4" s="122"/>
      <c r="N4" s="122">
        <v>1</v>
      </c>
      <c r="O4" s="115" t="s">
        <v>545</v>
      </c>
    </row>
    <row r="5" spans="1:20">
      <c r="A5" s="115" t="str">
        <f t="shared" si="0"/>
        <v>MICRO METER   ,50 - 75       MM</v>
      </c>
      <c r="B5" s="122">
        <v>3</v>
      </c>
      <c r="C5" s="122" t="s">
        <v>540</v>
      </c>
      <c r="D5" s="122" t="s">
        <v>548</v>
      </c>
      <c r="E5" s="122" t="s">
        <v>542</v>
      </c>
      <c r="F5" s="122" t="s">
        <v>549</v>
      </c>
      <c r="G5" s="129">
        <v>46102</v>
      </c>
      <c r="H5" s="124">
        <v>1</v>
      </c>
      <c r="I5" s="124">
        <v>4010377451</v>
      </c>
      <c r="J5" s="124" t="s">
        <v>544</v>
      </c>
      <c r="K5" s="123"/>
      <c r="L5" s="123"/>
      <c r="M5" s="122"/>
      <c r="N5" s="122">
        <v>1</v>
      </c>
      <c r="O5" s="115" t="s">
        <v>545</v>
      </c>
    </row>
    <row r="6" spans="1:20">
      <c r="A6" s="115" t="str">
        <f t="shared" si="0"/>
        <v>MICRO METER   ,75 - 100     MM</v>
      </c>
      <c r="B6" s="122">
        <v>4</v>
      </c>
      <c r="C6" s="122" t="s">
        <v>540</v>
      </c>
      <c r="D6" s="122" t="s">
        <v>550</v>
      </c>
      <c r="E6" s="122" t="s">
        <v>542</v>
      </c>
      <c r="F6" s="122" t="s">
        <v>551</v>
      </c>
      <c r="G6" s="129">
        <v>46102</v>
      </c>
      <c r="H6" s="124">
        <v>1</v>
      </c>
      <c r="I6" s="124">
        <v>4010377451</v>
      </c>
      <c r="J6" s="124" t="s">
        <v>544</v>
      </c>
      <c r="K6" s="123"/>
      <c r="L6" s="123"/>
      <c r="M6" s="122"/>
      <c r="N6" s="122">
        <v>1</v>
      </c>
      <c r="O6" s="115" t="s">
        <v>545</v>
      </c>
    </row>
    <row r="7" spans="1:20">
      <c r="A7" s="115" t="str">
        <f t="shared" si="0"/>
        <v>MICRO METER   ,100 - 125   MM</v>
      </c>
      <c r="B7" s="122">
        <v>5</v>
      </c>
      <c r="C7" s="122" t="s">
        <v>540</v>
      </c>
      <c r="D7" s="122" t="s">
        <v>552</v>
      </c>
      <c r="E7" s="122" t="s">
        <v>542</v>
      </c>
      <c r="F7" s="122" t="s">
        <v>553</v>
      </c>
      <c r="G7" s="129">
        <v>46102</v>
      </c>
      <c r="H7" s="124">
        <v>1</v>
      </c>
      <c r="I7" s="124">
        <v>4010377451</v>
      </c>
      <c r="J7" s="124" t="s">
        <v>544</v>
      </c>
      <c r="K7" s="123"/>
      <c r="L7" s="123"/>
      <c r="M7" s="122"/>
      <c r="N7" s="122">
        <v>1</v>
      </c>
      <c r="O7" s="115" t="s">
        <v>545</v>
      </c>
    </row>
    <row r="8" spans="1:20">
      <c r="A8" s="115" t="str">
        <f t="shared" si="0"/>
        <v>MICRO METER,   125 - 150   MM</v>
      </c>
      <c r="B8" s="122">
        <v>6</v>
      </c>
      <c r="C8" s="122" t="s">
        <v>540</v>
      </c>
      <c r="D8" s="122" t="s">
        <v>554</v>
      </c>
      <c r="E8" s="122" t="s">
        <v>542</v>
      </c>
      <c r="F8" s="122" t="s">
        <v>555</v>
      </c>
      <c r="G8" s="129">
        <v>46102</v>
      </c>
      <c r="H8" s="124">
        <v>1</v>
      </c>
      <c r="I8" s="124">
        <v>4010377451</v>
      </c>
      <c r="J8" s="124" t="s">
        <v>544</v>
      </c>
      <c r="K8" s="123"/>
      <c r="L8" s="123"/>
      <c r="M8" s="122"/>
      <c r="N8" s="122">
        <v>1</v>
      </c>
      <c r="O8" s="115" t="s">
        <v>545</v>
      </c>
    </row>
    <row r="9" spans="1:20">
      <c r="A9" s="115" t="str">
        <f t="shared" si="0"/>
        <v>MICRO METER,150 - 175      MM</v>
      </c>
      <c r="B9" s="122">
        <v>7</v>
      </c>
      <c r="C9" s="146" t="s">
        <v>540</v>
      </c>
      <c r="D9" s="138" t="s">
        <v>556</v>
      </c>
      <c r="E9" s="122" t="s">
        <v>542</v>
      </c>
      <c r="F9" s="140" t="s">
        <v>557</v>
      </c>
      <c r="G9" s="129">
        <v>46102</v>
      </c>
      <c r="H9" s="124">
        <v>1</v>
      </c>
      <c r="I9" s="124">
        <v>4010377451</v>
      </c>
      <c r="J9" s="124" t="s">
        <v>544</v>
      </c>
      <c r="K9" s="123"/>
      <c r="L9" s="123">
        <v>46163</v>
      </c>
      <c r="M9" s="122" t="s">
        <v>558</v>
      </c>
      <c r="N9" s="122">
        <v>1</v>
      </c>
      <c r="O9" s="115" t="s">
        <v>545</v>
      </c>
      <c r="S9" s="156" t="s">
        <v>559</v>
      </c>
    </row>
    <row r="10" spans="1:20">
      <c r="A10" s="115" t="str">
        <f t="shared" si="0"/>
        <v>MICRO METER,175 - 200      MM</v>
      </c>
      <c r="B10" s="122">
        <v>8</v>
      </c>
      <c r="C10" s="138" t="s">
        <v>540</v>
      </c>
      <c r="D10" s="151" t="s">
        <v>560</v>
      </c>
      <c r="E10" s="147" t="s">
        <v>542</v>
      </c>
      <c r="F10" s="147" t="s">
        <v>561</v>
      </c>
      <c r="G10" s="148">
        <v>46102</v>
      </c>
      <c r="H10" s="149">
        <v>1</v>
      </c>
      <c r="I10" s="149">
        <v>4010377451</v>
      </c>
      <c r="J10" s="149" t="s">
        <v>544</v>
      </c>
      <c r="K10" s="150"/>
      <c r="L10" s="150"/>
      <c r="M10" s="147"/>
      <c r="N10" s="147">
        <v>1</v>
      </c>
      <c r="O10" s="115" t="s">
        <v>545</v>
      </c>
    </row>
    <row r="11" spans="1:20">
      <c r="A11" s="115" t="str">
        <f t="shared" si="0"/>
        <v>MICRO METER,300 - 400      MM</v>
      </c>
      <c r="B11" s="122">
        <v>9</v>
      </c>
      <c r="C11" s="146" t="s">
        <v>540</v>
      </c>
      <c r="D11" s="138" t="s">
        <v>562</v>
      </c>
      <c r="E11" s="122" t="s">
        <v>542</v>
      </c>
      <c r="F11" s="140" t="s">
        <v>563</v>
      </c>
      <c r="G11" s="129">
        <v>46102</v>
      </c>
      <c r="H11" s="124">
        <v>1</v>
      </c>
      <c r="I11" s="124">
        <v>4010377451</v>
      </c>
      <c r="J11" s="124" t="s">
        <v>544</v>
      </c>
      <c r="K11" s="123"/>
      <c r="L11" s="123">
        <v>46163</v>
      </c>
      <c r="M11" s="122" t="s">
        <v>558</v>
      </c>
      <c r="N11" s="122">
        <v>1</v>
      </c>
      <c r="O11" s="115" t="s">
        <v>545</v>
      </c>
      <c r="S11" s="156" t="s">
        <v>559</v>
      </c>
    </row>
    <row r="12" spans="1:20">
      <c r="A12" s="115" t="str">
        <f t="shared" si="0"/>
        <v>MICRO METER,100 - 200      MM</v>
      </c>
      <c r="B12" s="122">
        <v>10</v>
      </c>
      <c r="C12" s="138" t="s">
        <v>540</v>
      </c>
      <c r="D12" s="151" t="s">
        <v>564</v>
      </c>
      <c r="E12" s="147" t="s">
        <v>542</v>
      </c>
      <c r="F12" s="147" t="s">
        <v>565</v>
      </c>
      <c r="G12" s="148">
        <v>46102</v>
      </c>
      <c r="H12" s="149">
        <v>1</v>
      </c>
      <c r="I12" s="149">
        <v>4010377451</v>
      </c>
      <c r="J12" s="149" t="s">
        <v>544</v>
      </c>
      <c r="K12" s="150"/>
      <c r="L12" s="150"/>
      <c r="M12" s="147"/>
      <c r="N12" s="147">
        <v>1</v>
      </c>
      <c r="O12" s="115" t="s">
        <v>545</v>
      </c>
    </row>
    <row r="13" spans="1:20">
      <c r="A13" s="115" t="str">
        <f t="shared" si="0"/>
        <v>BORE GAUGE,35 - 60 MM</v>
      </c>
      <c r="B13" s="122">
        <v>11</v>
      </c>
      <c r="C13" s="146" t="s">
        <v>540</v>
      </c>
      <c r="D13" s="138" t="s">
        <v>566</v>
      </c>
      <c r="E13" s="122" t="s">
        <v>542</v>
      </c>
      <c r="F13" s="140" t="s">
        <v>567</v>
      </c>
      <c r="G13" s="129">
        <v>46102</v>
      </c>
      <c r="H13" s="124">
        <v>1</v>
      </c>
      <c r="I13" s="124">
        <v>4010377451</v>
      </c>
      <c r="J13" s="124" t="s">
        <v>544</v>
      </c>
      <c r="K13" s="123"/>
      <c r="L13" s="123">
        <v>46163</v>
      </c>
      <c r="M13" s="122" t="s">
        <v>568</v>
      </c>
      <c r="N13" s="122">
        <v>1</v>
      </c>
      <c r="O13" s="115" t="s">
        <v>545</v>
      </c>
      <c r="S13" s="157" t="s">
        <v>559</v>
      </c>
    </row>
    <row r="14" spans="1:20">
      <c r="A14" s="115" t="str">
        <f t="shared" si="0"/>
        <v>BORE GAUGE,50 - 150 MM</v>
      </c>
      <c r="B14" s="122">
        <v>12</v>
      </c>
      <c r="C14" s="146" t="s">
        <v>540</v>
      </c>
      <c r="D14" s="138" t="s">
        <v>569</v>
      </c>
      <c r="E14" s="122" t="s">
        <v>542</v>
      </c>
      <c r="F14" s="140" t="s">
        <v>570</v>
      </c>
      <c r="G14" s="129">
        <v>46102</v>
      </c>
      <c r="H14" s="124">
        <v>1</v>
      </c>
      <c r="I14" s="124">
        <v>4010377451</v>
      </c>
      <c r="J14" s="124" t="s">
        <v>544</v>
      </c>
      <c r="K14" s="123"/>
      <c r="L14" s="123">
        <v>46163</v>
      </c>
      <c r="M14" s="122" t="s">
        <v>568</v>
      </c>
      <c r="N14" s="122">
        <v>1</v>
      </c>
      <c r="O14" s="115" t="s">
        <v>545</v>
      </c>
      <c r="S14" s="155" t="s">
        <v>559</v>
      </c>
    </row>
    <row r="15" spans="1:20">
      <c r="A15" s="115" t="str">
        <f t="shared" si="0"/>
        <v>DIAL VERNIER CALIPER 0-200 MM / 0.01MM</v>
      </c>
      <c r="B15" s="122">
        <v>13</v>
      </c>
      <c r="C15" s="146" t="s">
        <v>540</v>
      </c>
      <c r="D15" s="138" t="s">
        <v>571</v>
      </c>
      <c r="E15" s="122" t="s">
        <v>542</v>
      </c>
      <c r="F15" s="140" t="s">
        <v>572</v>
      </c>
      <c r="G15" s="129">
        <v>46102</v>
      </c>
      <c r="H15" s="124">
        <v>1</v>
      </c>
      <c r="I15" s="124">
        <v>4010377451</v>
      </c>
      <c r="J15" s="124" t="s">
        <v>544</v>
      </c>
      <c r="K15" s="123"/>
      <c r="L15" s="123">
        <v>46163</v>
      </c>
      <c r="M15" s="122" t="s">
        <v>558</v>
      </c>
      <c r="N15" s="122">
        <v>1</v>
      </c>
      <c r="O15" s="115" t="s">
        <v>545</v>
      </c>
      <c r="S15" s="156" t="s">
        <v>559</v>
      </c>
    </row>
    <row r="16" spans="1:20">
      <c r="A16" s="115" t="str">
        <f t="shared" si="0"/>
        <v>DEEP CALIPER DIGITAL 0-300 MM / 0.05MM</v>
      </c>
      <c r="B16" s="122">
        <v>14</v>
      </c>
      <c r="C16" s="138" t="s">
        <v>540</v>
      </c>
      <c r="D16" s="151" t="s">
        <v>573</v>
      </c>
      <c r="E16" s="147" t="s">
        <v>542</v>
      </c>
      <c r="F16" s="147" t="s">
        <v>574</v>
      </c>
      <c r="G16" s="148">
        <v>46102</v>
      </c>
      <c r="H16" s="149">
        <v>1</v>
      </c>
      <c r="I16" s="149">
        <v>4010377451</v>
      </c>
      <c r="J16" s="149" t="s">
        <v>544</v>
      </c>
      <c r="K16" s="150"/>
      <c r="L16" s="150"/>
      <c r="M16" s="147"/>
      <c r="N16" s="147">
        <v>1</v>
      </c>
      <c r="O16" s="115" t="s">
        <v>545</v>
      </c>
    </row>
    <row r="17" spans="1:19">
      <c r="A17" s="115" t="str">
        <f t="shared" si="0"/>
        <v>VERNIER  CALIPER,DIG,ABS,0-100/0.01MM</v>
      </c>
      <c r="B17" s="122">
        <v>15</v>
      </c>
      <c r="C17" s="138" t="s">
        <v>540</v>
      </c>
      <c r="D17" s="138" t="s">
        <v>575</v>
      </c>
      <c r="E17" s="122" t="s">
        <v>542</v>
      </c>
      <c r="F17" s="122" t="s">
        <v>576</v>
      </c>
      <c r="G17" s="129">
        <v>46543</v>
      </c>
      <c r="H17" s="124">
        <v>1</v>
      </c>
      <c r="I17" s="124" t="s">
        <v>577</v>
      </c>
      <c r="J17" s="124" t="s">
        <v>578</v>
      </c>
      <c r="K17" s="123">
        <v>46175</v>
      </c>
      <c r="L17" s="123">
        <v>46182</v>
      </c>
      <c r="M17" s="122"/>
      <c r="N17" s="122">
        <v>1</v>
      </c>
      <c r="O17" s="115" t="s">
        <v>545</v>
      </c>
    </row>
    <row r="18" spans="1:19">
      <c r="A18" s="115" t="str">
        <f t="shared" si="0"/>
        <v>MICRO METER,TUBULAR,50 - 1000 MM</v>
      </c>
      <c r="B18" s="122">
        <v>16</v>
      </c>
      <c r="C18" s="146" t="s">
        <v>540</v>
      </c>
      <c r="D18" s="138" t="s">
        <v>579</v>
      </c>
      <c r="E18" s="122" t="s">
        <v>542</v>
      </c>
      <c r="F18" s="140" t="s">
        <v>580</v>
      </c>
      <c r="G18" s="129">
        <v>46102</v>
      </c>
      <c r="H18" s="124">
        <v>1</v>
      </c>
      <c r="I18" s="124">
        <v>4010377451</v>
      </c>
      <c r="J18" s="124" t="s">
        <v>544</v>
      </c>
      <c r="K18" s="123"/>
      <c r="L18" s="123">
        <v>46163</v>
      </c>
      <c r="M18" s="122" t="s">
        <v>558</v>
      </c>
      <c r="N18" s="122">
        <v>1</v>
      </c>
      <c r="O18" s="115" t="s">
        <v>545</v>
      </c>
      <c r="S18" s="156" t="s">
        <v>559</v>
      </c>
    </row>
    <row r="19" spans="1:19">
      <c r="A19" s="115" t="str">
        <f t="shared" si="0"/>
        <v>MICRO METER     0 - 25        MM</v>
      </c>
      <c r="B19" s="122">
        <v>17</v>
      </c>
      <c r="C19" s="146" t="s">
        <v>540</v>
      </c>
      <c r="D19" s="138" t="s">
        <v>541</v>
      </c>
      <c r="E19" s="122" t="s">
        <v>542</v>
      </c>
      <c r="F19" s="140" t="s">
        <v>581</v>
      </c>
      <c r="G19" s="130">
        <v>46157</v>
      </c>
      <c r="H19" s="124">
        <v>1</v>
      </c>
      <c r="I19" s="124">
        <v>4010382777</v>
      </c>
      <c r="J19" s="124" t="s">
        <v>544</v>
      </c>
      <c r="K19" s="125"/>
      <c r="L19" s="123">
        <v>46163</v>
      </c>
      <c r="M19" s="122" t="s">
        <v>558</v>
      </c>
      <c r="N19" s="122">
        <v>2</v>
      </c>
      <c r="O19" s="115" t="s">
        <v>545</v>
      </c>
      <c r="S19" s="156" t="s">
        <v>559</v>
      </c>
    </row>
    <row r="20" spans="1:19">
      <c r="A20" s="115" t="str">
        <f t="shared" si="0"/>
        <v>MICRO METER    25 - 50       MM</v>
      </c>
      <c r="B20" s="122">
        <v>18</v>
      </c>
      <c r="C20" s="146" t="s">
        <v>540</v>
      </c>
      <c r="D20" s="138" t="s">
        <v>546</v>
      </c>
      <c r="E20" s="122" t="s">
        <v>542</v>
      </c>
      <c r="F20" s="140" t="s">
        <v>582</v>
      </c>
      <c r="G20" s="130">
        <v>46157</v>
      </c>
      <c r="H20" s="124">
        <v>1</v>
      </c>
      <c r="I20" s="124">
        <v>4010382777</v>
      </c>
      <c r="J20" s="124" t="s">
        <v>544</v>
      </c>
      <c r="K20" s="125"/>
      <c r="L20" s="123">
        <v>46163</v>
      </c>
      <c r="M20" s="122" t="s">
        <v>558</v>
      </c>
      <c r="N20" s="122">
        <v>2</v>
      </c>
      <c r="O20" s="115" t="s">
        <v>545</v>
      </c>
      <c r="S20" s="156" t="s">
        <v>559</v>
      </c>
    </row>
    <row r="21" spans="1:19">
      <c r="A21" s="115" t="str">
        <f t="shared" si="0"/>
        <v>MICRO METER   ,50 - 75       MM</v>
      </c>
      <c r="B21" s="122">
        <v>19</v>
      </c>
      <c r="C21" s="146" t="s">
        <v>540</v>
      </c>
      <c r="D21" s="138" t="s">
        <v>548</v>
      </c>
      <c r="E21" s="122" t="s">
        <v>542</v>
      </c>
      <c r="F21" s="140" t="s">
        <v>583</v>
      </c>
      <c r="G21" s="130">
        <v>46157</v>
      </c>
      <c r="H21" s="124">
        <v>1</v>
      </c>
      <c r="I21" s="124">
        <v>4010382777</v>
      </c>
      <c r="J21" s="124" t="s">
        <v>544</v>
      </c>
      <c r="K21" s="125"/>
      <c r="L21" s="123">
        <v>46163</v>
      </c>
      <c r="M21" s="122" t="s">
        <v>558</v>
      </c>
      <c r="N21" s="122">
        <v>2</v>
      </c>
      <c r="O21" s="115" t="s">
        <v>545</v>
      </c>
      <c r="S21" s="156" t="s">
        <v>559</v>
      </c>
    </row>
    <row r="22" spans="1:19">
      <c r="A22" s="115" t="str">
        <f t="shared" si="0"/>
        <v>MICRO METER   ,75 - 100     MM</v>
      </c>
      <c r="B22" s="122">
        <v>20</v>
      </c>
      <c r="C22" s="138" t="s">
        <v>540</v>
      </c>
      <c r="D22" s="151" t="s">
        <v>550</v>
      </c>
      <c r="E22" s="147" t="s">
        <v>542</v>
      </c>
      <c r="F22" s="147" t="s">
        <v>584</v>
      </c>
      <c r="G22" s="152">
        <v>46157</v>
      </c>
      <c r="H22" s="149">
        <v>1</v>
      </c>
      <c r="I22" s="149"/>
      <c r="J22" s="149" t="s">
        <v>544</v>
      </c>
      <c r="K22" s="153"/>
      <c r="L22" s="153"/>
      <c r="M22" s="154"/>
      <c r="N22" s="147">
        <v>2</v>
      </c>
      <c r="O22" s="115" t="s">
        <v>545</v>
      </c>
    </row>
    <row r="23" spans="1:19">
      <c r="A23" s="115" t="str">
        <f t="shared" si="0"/>
        <v>MICRO METER   ,100 - 125   MM</v>
      </c>
      <c r="B23" s="122">
        <v>21</v>
      </c>
      <c r="C23" s="146" t="s">
        <v>540</v>
      </c>
      <c r="D23" s="138" t="s">
        <v>552</v>
      </c>
      <c r="E23" s="122" t="s">
        <v>542</v>
      </c>
      <c r="F23" s="140" t="s">
        <v>585</v>
      </c>
      <c r="G23" s="130">
        <v>46543</v>
      </c>
      <c r="H23" s="124">
        <v>1</v>
      </c>
      <c r="I23" s="124" t="s">
        <v>577</v>
      </c>
      <c r="J23" s="124" t="s">
        <v>578</v>
      </c>
      <c r="K23" s="125">
        <v>46175</v>
      </c>
      <c r="L23" s="125">
        <v>46182</v>
      </c>
      <c r="M23" s="126"/>
      <c r="N23" s="122">
        <v>2</v>
      </c>
      <c r="O23" s="115" t="s">
        <v>545</v>
      </c>
      <c r="S23" s="155" t="s">
        <v>559</v>
      </c>
    </row>
    <row r="24" spans="1:19">
      <c r="A24" s="115" t="str">
        <f t="shared" si="0"/>
        <v>MICRO METER,   125 - 150   MM</v>
      </c>
      <c r="B24" s="122">
        <v>22</v>
      </c>
      <c r="C24" s="146" t="s">
        <v>540</v>
      </c>
      <c r="D24" s="138" t="s">
        <v>554</v>
      </c>
      <c r="E24" s="122" t="s">
        <v>542</v>
      </c>
      <c r="F24" s="140" t="s">
        <v>586</v>
      </c>
      <c r="G24" s="130">
        <v>46157</v>
      </c>
      <c r="H24" s="124">
        <v>1</v>
      </c>
      <c r="I24" s="124">
        <v>4010382777</v>
      </c>
      <c r="J24" s="124" t="s">
        <v>544</v>
      </c>
      <c r="K24" s="125"/>
      <c r="L24" s="123">
        <v>46163</v>
      </c>
      <c r="M24" s="122" t="s">
        <v>558</v>
      </c>
      <c r="N24" s="122">
        <v>2</v>
      </c>
      <c r="O24" s="141" t="s">
        <v>545</v>
      </c>
      <c r="S24" s="156" t="s">
        <v>559</v>
      </c>
    </row>
    <row r="25" spans="1:19">
      <c r="A25" s="115" t="str">
        <f t="shared" si="0"/>
        <v>MICRO METER,150 - 175      MM</v>
      </c>
      <c r="B25" s="122">
        <v>23</v>
      </c>
      <c r="C25" s="138" t="s">
        <v>540</v>
      </c>
      <c r="D25" s="151" t="s">
        <v>556</v>
      </c>
      <c r="E25" s="147" t="s">
        <v>542</v>
      </c>
      <c r="F25" s="147" t="s">
        <v>587</v>
      </c>
      <c r="G25" s="152">
        <v>46157</v>
      </c>
      <c r="H25" s="149">
        <v>1</v>
      </c>
      <c r="I25" s="149"/>
      <c r="J25" s="149" t="s">
        <v>544</v>
      </c>
      <c r="K25" s="153"/>
      <c r="L25" s="153"/>
      <c r="M25" s="154"/>
      <c r="N25" s="147">
        <v>2</v>
      </c>
      <c r="O25" s="115" t="s">
        <v>545</v>
      </c>
    </row>
    <row r="26" spans="1:19">
      <c r="A26" s="115" t="str">
        <f t="shared" si="0"/>
        <v>MICRO METER,175 - 200      MM</v>
      </c>
      <c r="B26" s="122">
        <v>24</v>
      </c>
      <c r="C26" s="146" t="s">
        <v>540</v>
      </c>
      <c r="D26" s="138" t="s">
        <v>560</v>
      </c>
      <c r="E26" s="122" t="s">
        <v>542</v>
      </c>
      <c r="F26" s="140" t="s">
        <v>588</v>
      </c>
      <c r="G26" s="130">
        <v>46157</v>
      </c>
      <c r="H26" s="124">
        <v>1</v>
      </c>
      <c r="I26" s="124">
        <v>4010382777</v>
      </c>
      <c r="J26" s="124" t="s">
        <v>544</v>
      </c>
      <c r="K26" s="125"/>
      <c r="L26" s="123">
        <v>46163</v>
      </c>
      <c r="M26" s="122" t="s">
        <v>558</v>
      </c>
      <c r="N26" s="122">
        <v>2</v>
      </c>
      <c r="O26" s="115" t="s">
        <v>545</v>
      </c>
      <c r="S26" s="156" t="s">
        <v>559</v>
      </c>
    </row>
    <row r="27" spans="1:19">
      <c r="A27" s="115" t="str">
        <f t="shared" si="0"/>
        <v>MICRO METER,300 - 400      MM</v>
      </c>
      <c r="B27" s="122">
        <v>25</v>
      </c>
      <c r="C27" s="138" t="s">
        <v>540</v>
      </c>
      <c r="D27" s="151" t="s">
        <v>562</v>
      </c>
      <c r="E27" s="147" t="s">
        <v>542</v>
      </c>
      <c r="F27" s="147" t="s">
        <v>589</v>
      </c>
      <c r="G27" s="152">
        <v>46157</v>
      </c>
      <c r="H27" s="149">
        <v>1</v>
      </c>
      <c r="I27" s="149"/>
      <c r="J27" s="149" t="s">
        <v>544</v>
      </c>
      <c r="K27" s="153"/>
      <c r="L27" s="153"/>
      <c r="M27" s="154"/>
      <c r="N27" s="147">
        <v>2</v>
      </c>
      <c r="O27" s="115" t="s">
        <v>545</v>
      </c>
    </row>
    <row r="28" spans="1:19">
      <c r="A28" s="115" t="str">
        <f t="shared" si="0"/>
        <v>MICRO METER,100 - 200      MM</v>
      </c>
      <c r="B28" s="122">
        <v>26</v>
      </c>
      <c r="C28" s="146" t="s">
        <v>540</v>
      </c>
      <c r="D28" s="138" t="s">
        <v>564</v>
      </c>
      <c r="E28" s="122" t="s">
        <v>542</v>
      </c>
      <c r="F28" s="140" t="s">
        <v>590</v>
      </c>
      <c r="G28" s="130">
        <v>46157</v>
      </c>
      <c r="H28" s="124">
        <v>1</v>
      </c>
      <c r="I28" s="124">
        <v>4010382777</v>
      </c>
      <c r="J28" s="124" t="s">
        <v>544</v>
      </c>
      <c r="K28" s="125"/>
      <c r="L28" s="123">
        <v>46163</v>
      </c>
      <c r="M28" s="122" t="s">
        <v>558</v>
      </c>
      <c r="N28" s="122">
        <v>2</v>
      </c>
      <c r="O28" s="115" t="s">
        <v>545</v>
      </c>
      <c r="S28" s="156" t="s">
        <v>559</v>
      </c>
    </row>
    <row r="29" spans="1:19">
      <c r="A29" s="115" t="str">
        <f t="shared" si="0"/>
        <v>BORE GAUGE,35 - 60 MM</v>
      </c>
      <c r="B29" s="122">
        <v>27</v>
      </c>
      <c r="C29" s="138" t="s">
        <v>540</v>
      </c>
      <c r="D29" s="151" t="s">
        <v>566</v>
      </c>
      <c r="E29" s="147" t="s">
        <v>542</v>
      </c>
      <c r="F29" s="158" t="s">
        <v>591</v>
      </c>
      <c r="G29" s="152">
        <v>46157</v>
      </c>
      <c r="H29" s="149">
        <v>1</v>
      </c>
      <c r="I29" s="149"/>
      <c r="J29" s="149" t="s">
        <v>544</v>
      </c>
      <c r="K29" s="153"/>
      <c r="L29" s="153"/>
      <c r="M29" s="154"/>
      <c r="N29" s="147">
        <v>2</v>
      </c>
      <c r="O29" s="115" t="s">
        <v>592</v>
      </c>
    </row>
    <row r="30" spans="1:19">
      <c r="A30" s="115" t="str">
        <f t="shared" si="0"/>
        <v>BORE GAUGE,50 - 150 MM</v>
      </c>
      <c r="B30" s="122">
        <v>28</v>
      </c>
      <c r="C30" s="138" t="s">
        <v>540</v>
      </c>
      <c r="D30" s="138" t="s">
        <v>569</v>
      </c>
      <c r="E30" s="122" t="s">
        <v>542</v>
      </c>
      <c r="F30" s="122" t="s">
        <v>593</v>
      </c>
      <c r="G30" s="130">
        <v>46543</v>
      </c>
      <c r="H30" s="124">
        <v>1</v>
      </c>
      <c r="I30" s="124" t="s">
        <v>577</v>
      </c>
      <c r="J30" s="124" t="s">
        <v>578</v>
      </c>
      <c r="K30" s="125">
        <v>46175</v>
      </c>
      <c r="L30" s="125">
        <v>46178</v>
      </c>
      <c r="M30" s="126"/>
      <c r="N30" s="122">
        <v>2</v>
      </c>
      <c r="O30" s="115" t="s">
        <v>545</v>
      </c>
    </row>
    <row r="31" spans="1:19">
      <c r="A31" s="115" t="str">
        <f t="shared" si="0"/>
        <v>DIAL VERNIER CALIPER 0-200 MM / 0.01MM</v>
      </c>
      <c r="B31" s="122">
        <v>29</v>
      </c>
      <c r="C31" s="138" t="s">
        <v>540</v>
      </c>
      <c r="D31" s="138" t="s">
        <v>571</v>
      </c>
      <c r="E31" s="122" t="s">
        <v>542</v>
      </c>
      <c r="F31" s="122" t="s">
        <v>594</v>
      </c>
      <c r="G31" s="130">
        <v>46543</v>
      </c>
      <c r="H31" s="124">
        <v>1</v>
      </c>
      <c r="I31" s="124" t="s">
        <v>577</v>
      </c>
      <c r="J31" s="124" t="s">
        <v>578</v>
      </c>
      <c r="K31" s="125">
        <v>46175</v>
      </c>
      <c r="L31" s="125">
        <v>46182</v>
      </c>
      <c r="M31" s="126"/>
      <c r="N31" s="122">
        <v>2</v>
      </c>
      <c r="O31" s="115" t="s">
        <v>545</v>
      </c>
    </row>
    <row r="32" spans="1:19">
      <c r="A32" s="115" t="str">
        <f t="shared" si="0"/>
        <v>VERNIER  CALIPER,DIG,ABS,0-100/0.01MM</v>
      </c>
      <c r="B32" s="122">
        <v>30</v>
      </c>
      <c r="C32" s="138" t="s">
        <v>540</v>
      </c>
      <c r="D32" s="138" t="s">
        <v>575</v>
      </c>
      <c r="E32" s="122" t="s">
        <v>542</v>
      </c>
      <c r="F32" s="122" t="s">
        <v>595</v>
      </c>
      <c r="G32" s="130">
        <v>46157</v>
      </c>
      <c r="H32" s="124">
        <v>1</v>
      </c>
      <c r="I32" s="124"/>
      <c r="J32" s="124" t="s">
        <v>544</v>
      </c>
      <c r="K32" s="125"/>
      <c r="L32" s="125"/>
      <c r="M32" s="126"/>
      <c r="N32" s="122">
        <v>2</v>
      </c>
      <c r="O32" s="115" t="s">
        <v>545</v>
      </c>
    </row>
    <row r="33" spans="1:19">
      <c r="A33" s="115" t="str">
        <f t="shared" si="0"/>
        <v>VERNIER  CALIPER,DIG,ABS,0-300/0.01 MM</v>
      </c>
      <c r="B33" s="122">
        <v>31</v>
      </c>
      <c r="C33" s="146" t="s">
        <v>540</v>
      </c>
      <c r="D33" s="138" t="s">
        <v>596</v>
      </c>
      <c r="E33" s="122" t="s">
        <v>542</v>
      </c>
      <c r="F33" s="140" t="s">
        <v>597</v>
      </c>
      <c r="G33" s="130">
        <v>46157</v>
      </c>
      <c r="H33" s="124">
        <v>1</v>
      </c>
      <c r="I33" s="124">
        <v>4010382777</v>
      </c>
      <c r="J33" s="124" t="s">
        <v>544</v>
      </c>
      <c r="K33" s="125"/>
      <c r="L33" s="123">
        <v>46163</v>
      </c>
      <c r="M33" s="122" t="s">
        <v>558</v>
      </c>
      <c r="N33" s="122">
        <v>2</v>
      </c>
      <c r="O33" s="115" t="s">
        <v>545</v>
      </c>
      <c r="S33" s="156" t="s">
        <v>559</v>
      </c>
    </row>
    <row r="34" spans="1:19">
      <c r="A34" s="115" t="str">
        <f t="shared" si="0"/>
        <v>MICRO METER,TUBULAR,50 - 1000 MM</v>
      </c>
      <c r="B34" s="122">
        <v>32</v>
      </c>
      <c r="C34" s="138" t="s">
        <v>540</v>
      </c>
      <c r="D34" s="151" t="s">
        <v>579</v>
      </c>
      <c r="E34" s="147" t="s">
        <v>542</v>
      </c>
      <c r="F34" s="147" t="s">
        <v>598</v>
      </c>
      <c r="G34" s="152">
        <v>46157</v>
      </c>
      <c r="H34" s="149">
        <v>1</v>
      </c>
      <c r="I34" s="149"/>
      <c r="J34" s="149" t="s">
        <v>544</v>
      </c>
      <c r="K34" s="153"/>
      <c r="L34" s="153"/>
      <c r="M34" s="154"/>
      <c r="N34" s="147">
        <v>2</v>
      </c>
      <c r="O34" s="141" t="s">
        <v>545</v>
      </c>
    </row>
    <row r="35" spans="1:19">
      <c r="A35" s="115" t="str">
        <f t="shared" ref="A35:A61" si="1">D35</f>
        <v>MICRO METER,      0 - 150   MM</v>
      </c>
      <c r="B35" s="122">
        <v>33</v>
      </c>
      <c r="C35" s="146" t="s">
        <v>540</v>
      </c>
      <c r="D35" s="138" t="s">
        <v>599</v>
      </c>
      <c r="E35" s="122" t="s">
        <v>542</v>
      </c>
      <c r="F35" s="140" t="s">
        <v>600</v>
      </c>
      <c r="G35" s="130">
        <v>46157</v>
      </c>
      <c r="H35" s="124">
        <v>1</v>
      </c>
      <c r="I35" s="124">
        <v>4010382777</v>
      </c>
      <c r="J35" s="124" t="s">
        <v>544</v>
      </c>
      <c r="K35" s="125"/>
      <c r="L35" s="123">
        <v>46163</v>
      </c>
      <c r="M35" s="122" t="s">
        <v>558</v>
      </c>
      <c r="N35" s="122">
        <v>2</v>
      </c>
      <c r="O35" s="115" t="s">
        <v>545</v>
      </c>
      <c r="S35" s="156" t="s">
        <v>559</v>
      </c>
    </row>
    <row r="36" spans="1:19">
      <c r="A36" s="115" t="str">
        <f t="shared" si="1"/>
        <v>MICRO METER   ,75 - 100     MM</v>
      </c>
      <c r="B36" s="122">
        <v>34</v>
      </c>
      <c r="C36" s="146" t="s">
        <v>540</v>
      </c>
      <c r="D36" s="138" t="s">
        <v>550</v>
      </c>
      <c r="E36" s="122" t="s">
        <v>542</v>
      </c>
      <c r="F36" s="140" t="s">
        <v>601</v>
      </c>
      <c r="G36" s="130">
        <v>46210</v>
      </c>
      <c r="H36" s="124">
        <v>1</v>
      </c>
      <c r="I36" s="124">
        <v>4010382777</v>
      </c>
      <c r="J36" s="124" t="s">
        <v>544</v>
      </c>
      <c r="K36" s="125"/>
      <c r="L36" s="123">
        <v>46163</v>
      </c>
      <c r="M36" s="122" t="s">
        <v>558</v>
      </c>
      <c r="N36" s="122">
        <v>3</v>
      </c>
      <c r="O36" s="115" t="s">
        <v>545</v>
      </c>
      <c r="P36" s="115" t="s">
        <v>602</v>
      </c>
      <c r="S36" s="156" t="s">
        <v>559</v>
      </c>
    </row>
    <row r="37" spans="1:19">
      <c r="A37" s="115" t="str">
        <f t="shared" si="1"/>
        <v>MICRO METER,200 - 225      MM</v>
      </c>
      <c r="B37" s="122">
        <v>35</v>
      </c>
      <c r="C37" s="138" t="s">
        <v>540</v>
      </c>
      <c r="D37" s="151" t="s">
        <v>603</v>
      </c>
      <c r="E37" s="147" t="s">
        <v>542</v>
      </c>
      <c r="F37" s="147" t="s">
        <v>604</v>
      </c>
      <c r="G37" s="152">
        <v>46210</v>
      </c>
      <c r="H37" s="149">
        <v>1</v>
      </c>
      <c r="I37" s="154"/>
      <c r="J37" s="149" t="s">
        <v>544</v>
      </c>
      <c r="K37" s="153"/>
      <c r="L37" s="150"/>
      <c r="M37" s="147"/>
      <c r="N37" s="147">
        <v>3</v>
      </c>
      <c r="O37" s="115" t="s">
        <v>545</v>
      </c>
      <c r="P37" s="115" t="s">
        <v>602</v>
      </c>
    </row>
    <row r="38" spans="1:19">
      <c r="A38" s="115" t="str">
        <f t="shared" si="1"/>
        <v>MICRO METER,225 - 250      MM</v>
      </c>
      <c r="B38" s="122">
        <v>36</v>
      </c>
      <c r="C38" s="138" t="s">
        <v>540</v>
      </c>
      <c r="D38" s="138" t="s">
        <v>605</v>
      </c>
      <c r="E38" s="122" t="s">
        <v>542</v>
      </c>
      <c r="F38" s="122" t="s">
        <v>606</v>
      </c>
      <c r="G38" s="130">
        <v>46210</v>
      </c>
      <c r="H38" s="124">
        <v>1</v>
      </c>
      <c r="I38" s="126"/>
      <c r="J38" s="124" t="s">
        <v>544</v>
      </c>
      <c r="K38" s="125"/>
      <c r="L38" s="123"/>
      <c r="M38" s="122"/>
      <c r="N38" s="122">
        <v>3</v>
      </c>
      <c r="O38" s="115" t="s">
        <v>545</v>
      </c>
      <c r="P38" s="115" t="s">
        <v>602</v>
      </c>
    </row>
    <row r="39" spans="1:19">
      <c r="A39" s="115" t="str">
        <f t="shared" si="1"/>
        <v>MICRO METER,250 - 275      MM</v>
      </c>
      <c r="B39" s="122">
        <v>37</v>
      </c>
      <c r="C39" s="138" t="s">
        <v>540</v>
      </c>
      <c r="D39" s="138" t="s">
        <v>607</v>
      </c>
      <c r="E39" s="122" t="s">
        <v>542</v>
      </c>
      <c r="F39" s="122" t="s">
        <v>608</v>
      </c>
      <c r="G39" s="130">
        <v>46210</v>
      </c>
      <c r="H39" s="124">
        <v>1</v>
      </c>
      <c r="I39" s="126"/>
      <c r="J39" s="124" t="s">
        <v>544</v>
      </c>
      <c r="K39" s="125"/>
      <c r="L39" s="123"/>
      <c r="M39" s="122"/>
      <c r="N39" s="122">
        <v>3</v>
      </c>
      <c r="O39" s="115" t="s">
        <v>545</v>
      </c>
      <c r="P39" s="115" t="s">
        <v>602</v>
      </c>
    </row>
    <row r="40" spans="1:19">
      <c r="A40" s="115" t="str">
        <f t="shared" si="1"/>
        <v>MICRO METER,275 - 300      MM</v>
      </c>
      <c r="B40" s="122">
        <v>38</v>
      </c>
      <c r="C40" s="138" t="s">
        <v>540</v>
      </c>
      <c r="D40" s="138" t="s">
        <v>609</v>
      </c>
      <c r="E40" s="122" t="s">
        <v>542</v>
      </c>
      <c r="F40" s="122" t="s">
        <v>610</v>
      </c>
      <c r="G40" s="130">
        <v>46210</v>
      </c>
      <c r="H40" s="124">
        <v>1</v>
      </c>
      <c r="I40" s="126"/>
      <c r="J40" s="124" t="s">
        <v>544</v>
      </c>
      <c r="K40" s="125"/>
      <c r="L40" s="123"/>
      <c r="M40" s="122"/>
      <c r="N40" s="122">
        <v>3</v>
      </c>
      <c r="O40" s="141" t="s">
        <v>545</v>
      </c>
      <c r="P40" s="115" t="s">
        <v>602</v>
      </c>
    </row>
    <row r="41" spans="1:19">
      <c r="A41" s="115" t="str">
        <f t="shared" si="1"/>
        <v>MICRO METER,      0 - 150   MM</v>
      </c>
      <c r="B41" s="122">
        <v>39</v>
      </c>
      <c r="C41" s="138" t="s">
        <v>540</v>
      </c>
      <c r="D41" s="138" t="s">
        <v>599</v>
      </c>
      <c r="E41" s="122" t="s">
        <v>542</v>
      </c>
      <c r="F41" s="122" t="s">
        <v>611</v>
      </c>
      <c r="G41" s="130">
        <v>46210</v>
      </c>
      <c r="H41" s="124">
        <v>1</v>
      </c>
      <c r="I41" s="126"/>
      <c r="J41" s="124" t="s">
        <v>544</v>
      </c>
      <c r="K41" s="125"/>
      <c r="L41" s="123"/>
      <c r="M41" s="122"/>
      <c r="N41" s="122">
        <v>3</v>
      </c>
      <c r="O41" s="141" t="s">
        <v>545</v>
      </c>
      <c r="P41" s="115" t="s">
        <v>602</v>
      </c>
    </row>
    <row r="42" spans="1:19">
      <c r="A42" s="115" t="str">
        <f t="shared" si="1"/>
        <v>MICRO METER,200 - 300      MM</v>
      </c>
      <c r="B42" s="122">
        <v>40</v>
      </c>
      <c r="C42" s="138" t="s">
        <v>540</v>
      </c>
      <c r="D42" s="138" t="s">
        <v>612</v>
      </c>
      <c r="E42" s="122" t="s">
        <v>542</v>
      </c>
      <c r="F42" s="122" t="s">
        <v>613</v>
      </c>
      <c r="G42" s="130">
        <v>46234</v>
      </c>
      <c r="H42" s="124">
        <v>1</v>
      </c>
      <c r="I42" s="126"/>
      <c r="J42" s="126" t="s">
        <v>544</v>
      </c>
      <c r="K42" s="125"/>
      <c r="L42" s="126"/>
      <c r="M42" s="122"/>
      <c r="N42" s="126">
        <v>4</v>
      </c>
      <c r="O42" s="141" t="s">
        <v>614</v>
      </c>
      <c r="P42" s="115" t="s">
        <v>615</v>
      </c>
      <c r="Q42" s="115" t="s">
        <v>616</v>
      </c>
    </row>
    <row r="43" spans="1:19">
      <c r="A43" s="115" t="str">
        <f t="shared" si="1"/>
        <v>BORE GAUGE,18 - 35 MM</v>
      </c>
      <c r="B43" s="122">
        <v>41</v>
      </c>
      <c r="C43" s="138" t="s">
        <v>540</v>
      </c>
      <c r="D43" s="138" t="s">
        <v>617</v>
      </c>
      <c r="E43" s="122" t="s">
        <v>542</v>
      </c>
      <c r="F43" s="122" t="s">
        <v>618</v>
      </c>
      <c r="G43" s="130">
        <v>46234</v>
      </c>
      <c r="H43" s="124">
        <v>1</v>
      </c>
      <c r="I43" s="126"/>
      <c r="J43" s="126" t="s">
        <v>544</v>
      </c>
      <c r="K43" s="125"/>
      <c r="L43" s="126"/>
      <c r="M43" s="122"/>
      <c r="N43" s="126">
        <v>4</v>
      </c>
      <c r="O43" s="115" t="s">
        <v>619</v>
      </c>
      <c r="Q43" s="115" t="s">
        <v>616</v>
      </c>
    </row>
    <row r="44" spans="1:19">
      <c r="A44" s="115" t="str">
        <f t="shared" si="1"/>
        <v>BORE GAUGE,160 - 250 MM</v>
      </c>
      <c r="B44" s="122">
        <v>42</v>
      </c>
      <c r="C44" s="138" t="s">
        <v>540</v>
      </c>
      <c r="D44" s="138" t="s">
        <v>620</v>
      </c>
      <c r="E44" s="122" t="s">
        <v>542</v>
      </c>
      <c r="F44" s="122" t="s">
        <v>621</v>
      </c>
      <c r="G44" s="130">
        <v>46234</v>
      </c>
      <c r="H44" s="124">
        <v>1</v>
      </c>
      <c r="I44" s="126"/>
      <c r="J44" s="126" t="s">
        <v>544</v>
      </c>
      <c r="K44" s="125"/>
      <c r="L44" s="125"/>
      <c r="M44" s="122"/>
      <c r="N44" s="126">
        <v>4</v>
      </c>
      <c r="O44" s="141" t="s">
        <v>619</v>
      </c>
      <c r="Q44" s="115" t="s">
        <v>616</v>
      </c>
    </row>
    <row r="45" spans="1:19">
      <c r="A45" s="115" t="str">
        <f t="shared" si="1"/>
        <v>BORE GAUGE,250 - 400 MM</v>
      </c>
      <c r="B45" s="122">
        <v>43</v>
      </c>
      <c r="C45" s="122" t="s">
        <v>540</v>
      </c>
      <c r="D45" s="122" t="s">
        <v>622</v>
      </c>
      <c r="E45" s="122" t="s">
        <v>542</v>
      </c>
      <c r="F45" s="122" t="s">
        <v>623</v>
      </c>
      <c r="G45" s="130">
        <v>46234</v>
      </c>
      <c r="H45" s="124">
        <v>1</v>
      </c>
      <c r="I45" s="126"/>
      <c r="J45" s="126" t="s">
        <v>544</v>
      </c>
      <c r="K45" s="125"/>
      <c r="L45" s="125"/>
      <c r="M45" s="122"/>
      <c r="N45" s="126">
        <v>4</v>
      </c>
      <c r="O45" s="115" t="s">
        <v>619</v>
      </c>
      <c r="Q45" s="115" t="s">
        <v>616</v>
      </c>
    </row>
    <row r="46" spans="1:19">
      <c r="A46" s="115" t="str">
        <f t="shared" si="1"/>
        <v>DEEP GAUGE 0-100/0.01 MM</v>
      </c>
      <c r="B46" s="122">
        <v>44</v>
      </c>
      <c r="C46" s="122" t="s">
        <v>540</v>
      </c>
      <c r="D46" s="122" t="s">
        <v>624</v>
      </c>
      <c r="E46" s="122" t="s">
        <v>542</v>
      </c>
      <c r="F46" s="122" t="s">
        <v>625</v>
      </c>
      <c r="G46" s="130">
        <v>46543</v>
      </c>
      <c r="H46" s="124">
        <v>1</v>
      </c>
      <c r="I46" s="126" t="s">
        <v>577</v>
      </c>
      <c r="J46" s="126" t="s">
        <v>578</v>
      </c>
      <c r="K46" s="125">
        <v>46175</v>
      </c>
      <c r="L46" s="125">
        <v>46182</v>
      </c>
      <c r="M46" s="122"/>
      <c r="N46" s="126">
        <v>4</v>
      </c>
      <c r="O46" s="115" t="s">
        <v>626</v>
      </c>
      <c r="P46" s="115" t="s">
        <v>627</v>
      </c>
      <c r="Q46" s="115" t="s">
        <v>616</v>
      </c>
      <c r="S46" s="115" t="s">
        <v>628</v>
      </c>
    </row>
    <row r="47" spans="1:19">
      <c r="A47" s="115" t="str">
        <f t="shared" si="1"/>
        <v>MICRO METER,   125 - 150   MM</v>
      </c>
      <c r="B47" s="122">
        <v>45</v>
      </c>
      <c r="C47" s="122" t="s">
        <v>540</v>
      </c>
      <c r="D47" s="122" t="s">
        <v>554</v>
      </c>
      <c r="E47" s="122" t="s">
        <v>542</v>
      </c>
      <c r="F47" s="122" t="s">
        <v>629</v>
      </c>
      <c r="G47" s="130"/>
      <c r="H47" s="124">
        <v>1</v>
      </c>
      <c r="I47" s="126"/>
      <c r="J47" s="126" t="s">
        <v>544</v>
      </c>
      <c r="K47" s="125"/>
      <c r="L47" s="125"/>
      <c r="M47" s="122"/>
      <c r="N47" s="122">
        <v>4</v>
      </c>
      <c r="O47" s="115" t="s">
        <v>630</v>
      </c>
    </row>
    <row r="48" spans="1:19">
      <c r="A48" s="115" t="str">
        <f t="shared" si="1"/>
        <v>MICRO METER,  400 - 500    MM</v>
      </c>
      <c r="B48" s="122">
        <v>46</v>
      </c>
      <c r="C48" s="122" t="s">
        <v>540</v>
      </c>
      <c r="D48" s="127" t="s">
        <v>631</v>
      </c>
      <c r="E48" s="122" t="s">
        <v>542</v>
      </c>
      <c r="F48" s="122" t="s">
        <v>632</v>
      </c>
      <c r="G48" s="130"/>
      <c r="H48" s="124">
        <v>1</v>
      </c>
      <c r="I48" s="126"/>
      <c r="J48" s="126"/>
      <c r="K48" s="126"/>
      <c r="L48" s="126"/>
      <c r="M48" s="126"/>
      <c r="N48" s="126"/>
    </row>
    <row r="49" spans="1:17">
      <c r="A49" s="115" t="str">
        <f t="shared" si="1"/>
        <v>MICRO METER,500 - 600      MM</v>
      </c>
      <c r="B49" s="122">
        <v>47</v>
      </c>
      <c r="C49" s="122" t="s">
        <v>540</v>
      </c>
      <c r="D49" s="127" t="s">
        <v>633</v>
      </c>
      <c r="E49" s="122" t="s">
        <v>542</v>
      </c>
      <c r="F49" s="159" t="s">
        <v>634</v>
      </c>
      <c r="G49" s="130"/>
      <c r="H49" s="124">
        <v>1</v>
      </c>
      <c r="I49" s="126"/>
      <c r="J49" s="126"/>
      <c r="K49" s="126"/>
      <c r="L49" s="126"/>
      <c r="M49" s="126"/>
      <c r="N49" s="126"/>
      <c r="O49" s="141"/>
    </row>
    <row r="50" spans="1:17">
      <c r="A50" s="115" t="str">
        <f t="shared" si="1"/>
        <v>MICRO METER,600 - 700      MM</v>
      </c>
      <c r="B50" s="122">
        <v>48</v>
      </c>
      <c r="C50" s="122" t="s">
        <v>540</v>
      </c>
      <c r="D50" s="127" t="s">
        <v>635</v>
      </c>
      <c r="E50" s="122" t="s">
        <v>542</v>
      </c>
      <c r="F50" s="122" t="s">
        <v>636</v>
      </c>
      <c r="G50" s="130"/>
      <c r="H50" s="124">
        <v>1</v>
      </c>
      <c r="I50" s="126"/>
      <c r="J50" s="126"/>
      <c r="K50" s="126"/>
      <c r="L50" s="126"/>
      <c r="M50" s="126"/>
      <c r="N50" s="126"/>
    </row>
    <row r="51" spans="1:17">
      <c r="A51" s="115" t="str">
        <f t="shared" si="1"/>
        <v>MICRO METER 700 - 800      MM</v>
      </c>
      <c r="B51" s="122">
        <v>49</v>
      </c>
      <c r="C51" s="122" t="s">
        <v>540</v>
      </c>
      <c r="D51" s="127" t="s">
        <v>637</v>
      </c>
      <c r="E51" s="122" t="s">
        <v>542</v>
      </c>
      <c r="F51" s="122" t="s">
        <v>638</v>
      </c>
      <c r="G51" s="130"/>
      <c r="H51" s="124">
        <v>1</v>
      </c>
      <c r="I51" s="126"/>
      <c r="J51" s="126"/>
      <c r="K51" s="126"/>
      <c r="L51" s="126"/>
      <c r="M51" s="126"/>
      <c r="N51" s="126"/>
    </row>
    <row r="52" spans="1:17">
      <c r="A52" s="115" t="str">
        <f t="shared" si="1"/>
        <v>MICRO METER 800 - 900      MM</v>
      </c>
      <c r="B52" s="122">
        <v>50</v>
      </c>
      <c r="C52" s="122" t="s">
        <v>540</v>
      </c>
      <c r="D52" s="127" t="s">
        <v>639</v>
      </c>
      <c r="E52" s="122" t="s">
        <v>542</v>
      </c>
      <c r="F52" s="122" t="s">
        <v>640</v>
      </c>
      <c r="G52" s="130"/>
      <c r="H52" s="124">
        <v>1</v>
      </c>
      <c r="I52" s="126"/>
      <c r="J52" s="126"/>
      <c r="K52" s="126"/>
      <c r="L52" s="126"/>
      <c r="M52" s="126"/>
      <c r="N52" s="126"/>
    </row>
    <row r="53" spans="1:17">
      <c r="A53" s="115" t="str">
        <f t="shared" si="1"/>
        <v>BORE GAUGE,50 - 150 MM</v>
      </c>
      <c r="B53" s="122">
        <v>51</v>
      </c>
      <c r="C53" s="122" t="s">
        <v>540</v>
      </c>
      <c r="D53" s="122" t="s">
        <v>569</v>
      </c>
      <c r="E53" s="122" t="s">
        <v>542</v>
      </c>
      <c r="F53" s="122"/>
      <c r="G53" s="130"/>
      <c r="H53" s="124">
        <v>1</v>
      </c>
      <c r="I53" s="124"/>
      <c r="J53" s="124"/>
      <c r="K53" s="123"/>
      <c r="L53" s="123"/>
      <c r="M53" s="122"/>
      <c r="N53" s="122"/>
    </row>
    <row r="54" spans="1:17">
      <c r="A54" s="115" t="str">
        <f t="shared" si="1"/>
        <v>BORE GAUGE,100 - 160 MM</v>
      </c>
      <c r="B54" s="122">
        <v>52</v>
      </c>
      <c r="C54" s="122" t="s">
        <v>540</v>
      </c>
      <c r="D54" s="122" t="s">
        <v>641</v>
      </c>
      <c r="E54" s="122" t="s">
        <v>542</v>
      </c>
      <c r="F54" s="122" t="s">
        <v>642</v>
      </c>
      <c r="G54" s="129"/>
      <c r="H54" s="124">
        <v>1</v>
      </c>
      <c r="I54" s="126"/>
      <c r="J54" s="126"/>
      <c r="K54" s="125"/>
      <c r="L54" s="125"/>
      <c r="M54" s="122"/>
      <c r="N54" s="126">
        <v>4</v>
      </c>
      <c r="O54" s="115" t="s">
        <v>630</v>
      </c>
      <c r="Q54" s="115" t="s">
        <v>616</v>
      </c>
    </row>
    <row r="55" spans="1:17">
      <c r="A55" s="115" t="str">
        <f t="shared" si="1"/>
        <v>DIAL GAUGE MAGNETIC SET,23</v>
      </c>
      <c r="B55" s="122">
        <v>53</v>
      </c>
      <c r="C55" s="128" t="s">
        <v>540</v>
      </c>
      <c r="D55" s="128" t="s">
        <v>643</v>
      </c>
      <c r="E55" s="122" t="s">
        <v>542</v>
      </c>
      <c r="F55" s="122"/>
      <c r="G55" s="130"/>
      <c r="H55" s="124">
        <v>5</v>
      </c>
      <c r="I55" s="126"/>
      <c r="J55" s="126"/>
      <c r="K55" s="126"/>
      <c r="L55" s="126"/>
      <c r="M55" s="126"/>
      <c r="N55" s="126"/>
    </row>
    <row r="56" spans="1:17">
      <c r="A56" s="115" t="str">
        <f t="shared" si="1"/>
        <v>FLOW METER ,1IN,FILL-RITE</v>
      </c>
      <c r="B56" s="122">
        <v>54</v>
      </c>
      <c r="C56" s="122" t="s">
        <v>540</v>
      </c>
      <c r="D56" s="122" t="s">
        <v>644</v>
      </c>
      <c r="E56" s="122" t="s">
        <v>542</v>
      </c>
      <c r="F56" s="122"/>
      <c r="G56" s="130"/>
      <c r="H56" s="124">
        <v>1</v>
      </c>
      <c r="I56" s="126"/>
      <c r="J56" s="126"/>
      <c r="K56" s="126"/>
      <c r="L56" s="126"/>
      <c r="M56" s="126"/>
      <c r="N56" s="126"/>
    </row>
    <row r="57" spans="1:17">
      <c r="A57" s="115" t="str">
        <f t="shared" si="1"/>
        <v>VERNIER CALIPER 0-500 MM / 0.05MM</v>
      </c>
      <c r="B57" s="122">
        <v>55</v>
      </c>
      <c r="C57" s="122" t="s">
        <v>540</v>
      </c>
      <c r="D57" s="122" t="s">
        <v>645</v>
      </c>
      <c r="E57" s="122" t="s">
        <v>542</v>
      </c>
      <c r="F57" s="122" t="s">
        <v>646</v>
      </c>
      <c r="G57" s="130"/>
      <c r="H57" s="124">
        <v>1</v>
      </c>
      <c r="I57" s="126"/>
      <c r="J57" s="126"/>
      <c r="K57" s="125"/>
      <c r="L57" s="125"/>
      <c r="M57" s="122"/>
      <c r="N57" s="126">
        <v>4</v>
      </c>
      <c r="O57" s="115" t="s">
        <v>647</v>
      </c>
      <c r="P57" s="115" t="s">
        <v>648</v>
      </c>
      <c r="Q57" s="115" t="s">
        <v>616</v>
      </c>
    </row>
    <row r="58" spans="1:17">
      <c r="A58" s="115" t="str">
        <f t="shared" si="1"/>
        <v>VERNIER  CALIPER,DIG,ABS,0-300/0.01 MM</v>
      </c>
      <c r="B58" s="122">
        <v>56</v>
      </c>
      <c r="C58" s="122" t="s">
        <v>540</v>
      </c>
      <c r="D58" s="122" t="s">
        <v>596</v>
      </c>
      <c r="E58" s="122" t="s">
        <v>542</v>
      </c>
      <c r="F58" s="122"/>
      <c r="G58" s="130"/>
      <c r="H58" s="124">
        <v>1</v>
      </c>
      <c r="I58" s="124"/>
      <c r="J58" s="124"/>
      <c r="K58" s="123"/>
      <c r="L58" s="123"/>
      <c r="M58" s="122"/>
      <c r="N58" s="122"/>
    </row>
    <row r="59" spans="1:17">
      <c r="A59" s="115" t="str">
        <f t="shared" si="1"/>
        <v>MICRO METER,TUBULAR,50 - 1000 MM</v>
      </c>
      <c r="B59" s="122">
        <v>57</v>
      </c>
      <c r="C59" s="122" t="s">
        <v>540</v>
      </c>
      <c r="D59" s="122" t="s">
        <v>579</v>
      </c>
      <c r="E59" s="122" t="s">
        <v>542</v>
      </c>
      <c r="F59" s="122"/>
      <c r="G59" s="130"/>
      <c r="H59" s="124">
        <v>1</v>
      </c>
      <c r="I59" s="124"/>
      <c r="J59" s="124"/>
      <c r="K59" s="123"/>
      <c r="L59" s="123"/>
      <c r="M59" s="122"/>
      <c r="N59" s="122"/>
    </row>
    <row r="60" spans="1:17">
      <c r="A60" s="115" t="str">
        <f t="shared" si="1"/>
        <v>TICKNES TOOL,PENGUKUR KETEBALAN</v>
      </c>
      <c r="B60" s="122">
        <v>58</v>
      </c>
      <c r="C60" s="122" t="s">
        <v>540</v>
      </c>
      <c r="D60" s="122" t="s">
        <v>649</v>
      </c>
      <c r="E60" s="122" t="s">
        <v>542</v>
      </c>
      <c r="F60" s="122"/>
      <c r="G60" s="130"/>
      <c r="H60" s="124">
        <v>1</v>
      </c>
      <c r="I60" s="126"/>
      <c r="J60" s="126"/>
      <c r="K60" s="126"/>
      <c r="L60" s="126"/>
      <c r="M60" s="126"/>
      <c r="N60" s="126"/>
    </row>
    <row r="61" spans="1:17">
      <c r="A61" s="115" t="str">
        <f t="shared" si="1"/>
        <v>TICKNES TOOL,PENGUKUR KETEBALAN</v>
      </c>
      <c r="B61" s="122">
        <v>59</v>
      </c>
      <c r="C61" s="122" t="s">
        <v>540</v>
      </c>
      <c r="D61" s="122" t="s">
        <v>649</v>
      </c>
      <c r="E61" s="122" t="s">
        <v>542</v>
      </c>
      <c r="F61" s="122"/>
      <c r="G61" s="130"/>
      <c r="H61" s="124">
        <v>1</v>
      </c>
      <c r="I61" s="126"/>
      <c r="J61" s="126"/>
      <c r="K61" s="126"/>
      <c r="L61" s="126"/>
      <c r="M61" s="126"/>
      <c r="N61" s="126"/>
      <c r="O61" s="141"/>
    </row>
  </sheetData>
  <autoFilter ref="A2:T61" xr:uid="{040C7CB8-37A8-4E0C-A0A8-A2C05F78BE54}"/>
  <conditionalFormatting sqref="B1:C1">
    <cfRule type="duplicateValues" dxfId="11" priority="6"/>
  </conditionalFormatting>
  <conditionalFormatting sqref="D3:D18">
    <cfRule type="duplicateValues" dxfId="10" priority="3"/>
    <cfRule type="duplicateValues" priority="4"/>
  </conditionalFormatting>
  <conditionalFormatting sqref="D19:D35">
    <cfRule type="duplicateValues" dxfId="9" priority="2"/>
  </conditionalFormatting>
  <conditionalFormatting sqref="D62:F1048576 D1:F2">
    <cfRule type="duplicateValues" dxfId="8" priority="7"/>
  </conditionalFormatting>
  <conditionalFormatting sqref="F3:F35">
    <cfRule type="duplicateValues" dxfId="7" priority="1"/>
  </conditionalFormatting>
  <conditionalFormatting sqref="H1">
    <cfRule type="duplicateValues" dxfId="6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BC3E-ADC7-43BD-836B-CD73A3754128}">
  <dimension ref="A1:J24"/>
  <sheetViews>
    <sheetView topLeftCell="A13" zoomScale="85" zoomScaleNormal="85" workbookViewId="0">
      <selection activeCell="E32" sqref="E32"/>
    </sheetView>
  </sheetViews>
  <sheetFormatPr defaultRowHeight="14.5"/>
  <cols>
    <col min="1" max="1" width="35.36328125" bestFit="1" customWidth="1"/>
  </cols>
  <sheetData>
    <row r="1" spans="1:10">
      <c r="A1" s="117" t="s">
        <v>529</v>
      </c>
      <c r="B1" s="117" t="s">
        <v>389</v>
      </c>
      <c r="C1" s="117" t="s">
        <v>530</v>
      </c>
    </row>
    <row r="2" spans="1:10">
      <c r="A2" s="121"/>
      <c r="B2" s="121"/>
      <c r="C2" s="121"/>
    </row>
    <row r="3" spans="1:10">
      <c r="A3" s="138" t="s">
        <v>541</v>
      </c>
      <c r="B3" s="122" t="s">
        <v>542</v>
      </c>
      <c r="C3" s="140" t="s">
        <v>581</v>
      </c>
      <c r="J3">
        <v>1.0209999999999999</v>
      </c>
    </row>
    <row r="4" spans="1:10">
      <c r="A4" s="138" t="s">
        <v>546</v>
      </c>
      <c r="B4" s="122" t="s">
        <v>542</v>
      </c>
      <c r="C4" s="140" t="s">
        <v>582</v>
      </c>
      <c r="J4">
        <v>1.0209999999999999</v>
      </c>
    </row>
    <row r="5" spans="1:10">
      <c r="A5" s="138" t="s">
        <v>548</v>
      </c>
      <c r="B5" s="122" t="s">
        <v>542</v>
      </c>
      <c r="C5" s="140" t="s">
        <v>583</v>
      </c>
      <c r="J5">
        <v>1.0209999999999999</v>
      </c>
    </row>
    <row r="6" spans="1:10">
      <c r="A6" s="138" t="s">
        <v>552</v>
      </c>
      <c r="B6" s="122" t="s">
        <v>542</v>
      </c>
      <c r="C6" s="140" t="s">
        <v>585</v>
      </c>
      <c r="J6">
        <v>1.0209999999999999</v>
      </c>
    </row>
    <row r="7" spans="1:10">
      <c r="A7" s="138" t="s">
        <v>554</v>
      </c>
      <c r="B7" s="122" t="s">
        <v>542</v>
      </c>
      <c r="C7" s="140" t="s">
        <v>586</v>
      </c>
      <c r="J7">
        <v>1.8140000000000001</v>
      </c>
    </row>
    <row r="8" spans="1:10">
      <c r="A8" s="138" t="s">
        <v>560</v>
      </c>
      <c r="B8" s="122" t="s">
        <v>542</v>
      </c>
      <c r="C8" s="140" t="s">
        <v>588</v>
      </c>
      <c r="J8">
        <v>1.8140000000000001</v>
      </c>
    </row>
    <row r="9" spans="1:10">
      <c r="A9" s="138" t="s">
        <v>564</v>
      </c>
      <c r="B9" s="122" t="s">
        <v>542</v>
      </c>
      <c r="C9" s="140" t="s">
        <v>590</v>
      </c>
      <c r="J9">
        <v>1.8140000000000001</v>
      </c>
    </row>
    <row r="10" spans="1:10">
      <c r="A10" s="138" t="s">
        <v>596</v>
      </c>
      <c r="B10" s="122" t="s">
        <v>542</v>
      </c>
      <c r="C10" s="140" t="s">
        <v>597</v>
      </c>
      <c r="J10">
        <v>1.8140000000000001</v>
      </c>
    </row>
    <row r="11" spans="1:10">
      <c r="A11" s="138" t="s">
        <v>599</v>
      </c>
      <c r="B11" s="122" t="s">
        <v>542</v>
      </c>
      <c r="C11" s="140" t="s">
        <v>600</v>
      </c>
      <c r="J11">
        <v>1.8140000000000001</v>
      </c>
    </row>
    <row r="12" spans="1:10">
      <c r="A12" s="138" t="s">
        <v>550</v>
      </c>
      <c r="B12" s="122" t="s">
        <v>542</v>
      </c>
      <c r="C12" s="140" t="s">
        <v>601</v>
      </c>
      <c r="J12">
        <v>1.8140000000000001</v>
      </c>
    </row>
    <row r="13" spans="1:10">
      <c r="A13" s="122" t="s">
        <v>541</v>
      </c>
      <c r="B13" s="122" t="s">
        <v>542</v>
      </c>
      <c r="C13" s="122" t="s">
        <v>543</v>
      </c>
      <c r="J13">
        <v>1.8140000000000001</v>
      </c>
    </row>
    <row r="14" spans="1:10">
      <c r="A14" s="122" t="s">
        <v>546</v>
      </c>
      <c r="B14" s="122" t="s">
        <v>542</v>
      </c>
      <c r="C14" s="122" t="s">
        <v>547</v>
      </c>
      <c r="J14">
        <v>4.0819999999999999</v>
      </c>
    </row>
    <row r="15" spans="1:10">
      <c r="A15" s="122" t="s">
        <v>548</v>
      </c>
      <c r="B15" s="122" t="s">
        <v>542</v>
      </c>
      <c r="C15" s="122" t="s">
        <v>549</v>
      </c>
      <c r="J15">
        <v>4.0819999999999999</v>
      </c>
    </row>
    <row r="16" spans="1:10">
      <c r="A16" s="122" t="s">
        <v>550</v>
      </c>
      <c r="B16" s="122" t="s">
        <v>542</v>
      </c>
      <c r="C16" s="122" t="s">
        <v>551</v>
      </c>
      <c r="J16">
        <v>4.0819999999999999</v>
      </c>
    </row>
    <row r="17" spans="1:10">
      <c r="A17" s="122" t="s">
        <v>552</v>
      </c>
      <c r="B17" s="122" t="s">
        <v>542</v>
      </c>
      <c r="C17" s="122" t="s">
        <v>553</v>
      </c>
      <c r="J17">
        <v>4.0819999999999999</v>
      </c>
    </row>
    <row r="18" spans="1:10">
      <c r="A18" s="122" t="s">
        <v>554</v>
      </c>
      <c r="B18" s="122" t="s">
        <v>542</v>
      </c>
      <c r="C18" s="122" t="s">
        <v>555</v>
      </c>
      <c r="J18">
        <v>4.0819999999999999</v>
      </c>
    </row>
    <row r="19" spans="1:10">
      <c r="A19" s="138" t="s">
        <v>560</v>
      </c>
      <c r="B19" s="122" t="s">
        <v>542</v>
      </c>
      <c r="C19" s="122" t="s">
        <v>561</v>
      </c>
      <c r="J19">
        <v>4.0819999999999999</v>
      </c>
    </row>
    <row r="20" spans="1:10">
      <c r="A20" s="138" t="s">
        <v>564</v>
      </c>
      <c r="B20" s="122" t="s">
        <v>542</v>
      </c>
      <c r="C20" s="122" t="s">
        <v>565</v>
      </c>
      <c r="J20">
        <v>4.0819999999999999</v>
      </c>
    </row>
    <row r="21" spans="1:10">
      <c r="A21" s="138" t="s">
        <v>573</v>
      </c>
      <c r="B21" s="122" t="s">
        <v>542</v>
      </c>
      <c r="C21" s="122" t="s">
        <v>574</v>
      </c>
      <c r="J21">
        <v>4.0819999999999999</v>
      </c>
    </row>
    <row r="22" spans="1:10">
      <c r="A22" s="138" t="s">
        <v>575</v>
      </c>
      <c r="B22" s="122" t="s">
        <v>542</v>
      </c>
      <c r="C22" s="122" t="s">
        <v>576</v>
      </c>
      <c r="J22">
        <v>4.0819999999999999</v>
      </c>
    </row>
    <row r="23" spans="1:10">
      <c r="J23">
        <v>4.0819999999999999</v>
      </c>
    </row>
    <row r="24" spans="1:10">
      <c r="J24">
        <v>4.0819999999999999</v>
      </c>
    </row>
  </sheetData>
  <conditionalFormatting sqref="A3:A11">
    <cfRule type="duplicateValues" dxfId="5" priority="8"/>
  </conditionalFormatting>
  <conditionalFormatting sqref="A3:A22">
    <cfRule type="duplicateValues" dxfId="4" priority="1"/>
  </conditionalFormatting>
  <conditionalFormatting sqref="A13:A22">
    <cfRule type="duplicateValues" dxfId="3" priority="3"/>
    <cfRule type="duplicateValues" priority="4"/>
  </conditionalFormatting>
  <conditionalFormatting sqref="A1:C2">
    <cfRule type="duplicateValues" dxfId="2" priority="12"/>
  </conditionalFormatting>
  <conditionalFormatting sqref="C3:C11">
    <cfRule type="duplicateValues" dxfId="1" priority="17"/>
  </conditionalFormatting>
  <conditionalFormatting sqref="C13:C22"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6313-1A6A-4530-BF60-9AA0A2A1BF6C}">
  <dimension ref="A9:E12"/>
  <sheetViews>
    <sheetView workbookViewId="0">
      <selection activeCell="E32" sqref="E32"/>
    </sheetView>
  </sheetViews>
  <sheetFormatPr defaultRowHeight="14.5"/>
  <cols>
    <col min="1" max="1" width="21" bestFit="1" customWidth="1"/>
    <col min="2" max="2" width="4.08984375" bestFit="1" customWidth="1"/>
    <col min="5" max="6" width="18.90625" bestFit="1" customWidth="1"/>
  </cols>
  <sheetData>
    <row r="9" spans="1:5">
      <c r="A9" s="114" t="s">
        <v>650</v>
      </c>
      <c r="B9" s="19" t="s">
        <v>651</v>
      </c>
      <c r="E9" t="s">
        <v>652</v>
      </c>
    </row>
    <row r="10" spans="1:5">
      <c r="A10" s="4" t="s">
        <v>411</v>
      </c>
      <c r="B10" s="19">
        <v>232</v>
      </c>
      <c r="C10" s="107">
        <f>B10/$B$12</f>
        <v>0.98723404255319147</v>
      </c>
      <c r="E10">
        <v>233</v>
      </c>
    </row>
    <row r="11" spans="1:5">
      <c r="A11" s="4" t="s">
        <v>393</v>
      </c>
      <c r="B11" s="19">
        <v>3</v>
      </c>
      <c r="C11" s="107">
        <f>B11/$B$12</f>
        <v>1.276595744680851E-2</v>
      </c>
    </row>
    <row r="12" spans="1:5">
      <c r="A12" s="4" t="s">
        <v>653</v>
      </c>
      <c r="B12" s="19">
        <v>235</v>
      </c>
      <c r="C12" s="107"/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EC91-1E7B-41C0-9341-34B29841E615}">
  <dimension ref="A3:B35"/>
  <sheetViews>
    <sheetView topLeftCell="A34" workbookViewId="0">
      <selection activeCell="D34" sqref="D34"/>
    </sheetView>
  </sheetViews>
  <sheetFormatPr defaultRowHeight="14.5"/>
  <cols>
    <col min="1" max="1" width="36.7265625" bestFit="1" customWidth="1"/>
    <col min="2" max="2" width="4.08984375" bestFit="1" customWidth="1"/>
  </cols>
  <sheetData>
    <row r="3" spans="1:2">
      <c r="A3" s="88" t="s">
        <v>2</v>
      </c>
      <c r="B3" t="s">
        <v>651</v>
      </c>
    </row>
    <row r="4" spans="1:2">
      <c r="A4" s="89" t="s">
        <v>73</v>
      </c>
      <c r="B4">
        <v>42</v>
      </c>
    </row>
    <row r="5" spans="1:2">
      <c r="A5" s="89" t="s">
        <v>276</v>
      </c>
      <c r="B5">
        <v>30</v>
      </c>
    </row>
    <row r="6" spans="1:2">
      <c r="A6" s="89" t="s">
        <v>198</v>
      </c>
      <c r="B6">
        <v>29</v>
      </c>
    </row>
    <row r="7" spans="1:2">
      <c r="A7" s="89" t="s">
        <v>165</v>
      </c>
      <c r="B7">
        <v>22</v>
      </c>
    </row>
    <row r="8" spans="1:2">
      <c r="A8" s="89" t="s">
        <v>252</v>
      </c>
      <c r="B8">
        <v>15</v>
      </c>
    </row>
    <row r="9" spans="1:2">
      <c r="A9" s="89" t="s">
        <v>354</v>
      </c>
      <c r="B9">
        <v>9</v>
      </c>
    </row>
    <row r="10" spans="1:2">
      <c r="A10" s="89" t="s">
        <v>344</v>
      </c>
      <c r="B10">
        <v>9</v>
      </c>
    </row>
    <row r="11" spans="1:2">
      <c r="A11" s="89" t="s">
        <v>139</v>
      </c>
      <c r="B11">
        <v>9</v>
      </c>
    </row>
    <row r="12" spans="1:2">
      <c r="A12" s="89" t="s">
        <v>53</v>
      </c>
      <c r="B12">
        <v>8</v>
      </c>
    </row>
    <row r="13" spans="1:2">
      <c r="A13" s="89" t="s">
        <v>36</v>
      </c>
      <c r="B13">
        <v>8</v>
      </c>
    </row>
    <row r="14" spans="1:2">
      <c r="A14" s="89" t="s">
        <v>117</v>
      </c>
      <c r="B14">
        <v>6</v>
      </c>
    </row>
    <row r="15" spans="1:2">
      <c r="A15" s="89" t="s">
        <v>271</v>
      </c>
      <c r="B15">
        <v>4</v>
      </c>
    </row>
    <row r="16" spans="1:2">
      <c r="A16" s="89" t="s">
        <v>160</v>
      </c>
      <c r="B16">
        <v>4</v>
      </c>
    </row>
    <row r="17" spans="1:2">
      <c r="A17" s="89" t="s">
        <v>364</v>
      </c>
      <c r="B17">
        <v>3</v>
      </c>
    </row>
    <row r="18" spans="1:2">
      <c r="A18" s="89" t="s">
        <v>239</v>
      </c>
      <c r="B18">
        <v>3</v>
      </c>
    </row>
    <row r="19" spans="1:2">
      <c r="A19" s="89" t="s">
        <v>66</v>
      </c>
      <c r="B19">
        <v>2</v>
      </c>
    </row>
    <row r="20" spans="1:2">
      <c r="A20" s="89" t="s">
        <v>32</v>
      </c>
      <c r="B20">
        <v>2</v>
      </c>
    </row>
    <row r="21" spans="1:2">
      <c r="A21" s="89" t="s">
        <v>194</v>
      </c>
      <c r="B21">
        <v>2</v>
      </c>
    </row>
    <row r="22" spans="1:2">
      <c r="A22" s="89" t="s">
        <v>243</v>
      </c>
      <c r="B22">
        <v>2</v>
      </c>
    </row>
    <row r="23" spans="1:2">
      <c r="A23" s="89" t="s">
        <v>371</v>
      </c>
      <c r="B23">
        <v>2</v>
      </c>
    </row>
    <row r="24" spans="1:2">
      <c r="A24" s="89" t="s">
        <v>340</v>
      </c>
      <c r="B24">
        <v>2</v>
      </c>
    </row>
    <row r="25" spans="1:2">
      <c r="A25" s="89" t="s">
        <v>192</v>
      </c>
      <c r="B25">
        <v>1</v>
      </c>
    </row>
    <row r="26" spans="1:2">
      <c r="A26" s="89" t="s">
        <v>129</v>
      </c>
      <c r="B26">
        <v>1</v>
      </c>
    </row>
    <row r="27" spans="1:2">
      <c r="A27" s="89" t="s">
        <v>136</v>
      </c>
      <c r="B27">
        <v>1</v>
      </c>
    </row>
    <row r="28" spans="1:2">
      <c r="A28" s="89" t="s">
        <v>268</v>
      </c>
      <c r="B28">
        <v>1</v>
      </c>
    </row>
    <row r="29" spans="1:2">
      <c r="A29" s="89" t="s">
        <v>368</v>
      </c>
      <c r="B29">
        <v>1</v>
      </c>
    </row>
    <row r="30" spans="1:2">
      <c r="A30" s="89" t="s">
        <v>154</v>
      </c>
      <c r="B30">
        <v>1</v>
      </c>
    </row>
    <row r="31" spans="1:2">
      <c r="A31" s="89" t="s">
        <v>250</v>
      </c>
      <c r="B31">
        <v>1</v>
      </c>
    </row>
    <row r="32" spans="1:2">
      <c r="A32" s="89" t="s">
        <v>26</v>
      </c>
      <c r="B32">
        <v>1</v>
      </c>
    </row>
    <row r="33" spans="1:2">
      <c r="A33" s="89" t="s">
        <v>156</v>
      </c>
      <c r="B33">
        <v>1</v>
      </c>
    </row>
    <row r="34" spans="1:2">
      <c r="A34" s="89" t="s">
        <v>133</v>
      </c>
      <c r="B34">
        <v>1</v>
      </c>
    </row>
    <row r="35" spans="1:2">
      <c r="A35" s="89" t="s">
        <v>33</v>
      </c>
      <c r="B35">
        <v>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A0FD-26AB-4DB3-AE5A-D5011C7A4332}">
  <dimension ref="A1:I159"/>
  <sheetViews>
    <sheetView zoomScale="70" zoomScaleNormal="70" workbookViewId="0">
      <pane xSplit="3" ySplit="1" topLeftCell="D2" activePane="bottomRight" state="frozenSplit"/>
      <selection pane="topRight" activeCell="C34" sqref="C34"/>
      <selection pane="bottomLeft" activeCell="C34" sqref="C34"/>
      <selection pane="bottomRight" activeCell="C34" sqref="C34"/>
    </sheetView>
  </sheetViews>
  <sheetFormatPr defaultColWidth="9.08984375" defaultRowHeight="15.5"/>
  <cols>
    <col min="1" max="1" width="11.08984375" style="48" bestFit="1" customWidth="1"/>
    <col min="2" max="2" width="27.6328125" style="48" bestFit="1" customWidth="1"/>
    <col min="3" max="3" width="46" style="48" bestFit="1" customWidth="1"/>
    <col min="4" max="4" width="22.08984375" style="58" bestFit="1" customWidth="1"/>
    <col min="5" max="5" width="19.7265625" style="48" customWidth="1"/>
    <col min="6" max="6" width="23.90625" style="48" bestFit="1" customWidth="1"/>
    <col min="7" max="7" width="19.7265625" style="48" customWidth="1"/>
    <col min="8" max="8" width="48.26953125" style="48" customWidth="1"/>
    <col min="9" max="9" width="14.90625" style="48" customWidth="1"/>
    <col min="10" max="16384" width="9.08984375" style="48"/>
  </cols>
  <sheetData>
    <row r="1" spans="1:9" ht="30" customHeight="1">
      <c r="A1" s="70" t="s">
        <v>376</v>
      </c>
      <c r="B1" s="70" t="s">
        <v>377</v>
      </c>
      <c r="C1" s="69" t="s">
        <v>378</v>
      </c>
      <c r="D1" s="71" t="s">
        <v>382</v>
      </c>
      <c r="E1" s="72" t="s">
        <v>388</v>
      </c>
      <c r="F1" s="72" t="s">
        <v>389</v>
      </c>
      <c r="G1" s="72" t="s">
        <v>654</v>
      </c>
      <c r="H1" s="72" t="s">
        <v>390</v>
      </c>
      <c r="I1" s="72" t="s">
        <v>391</v>
      </c>
    </row>
    <row r="2" spans="1:9">
      <c r="A2" s="49"/>
      <c r="B2" s="50" t="s">
        <v>116</v>
      </c>
      <c r="C2" s="64" t="s">
        <v>425</v>
      </c>
      <c r="D2" s="67">
        <v>45294</v>
      </c>
      <c r="E2" s="49" t="s">
        <v>21</v>
      </c>
      <c r="F2" s="49"/>
      <c r="G2" s="49"/>
      <c r="H2" s="60" t="s">
        <v>403</v>
      </c>
      <c r="I2" s="49"/>
    </row>
    <row r="3" spans="1:9">
      <c r="A3" s="49"/>
      <c r="B3" s="55"/>
      <c r="C3" s="64" t="s">
        <v>655</v>
      </c>
      <c r="D3" s="67">
        <v>45704</v>
      </c>
      <c r="E3" s="49" t="s">
        <v>137</v>
      </c>
      <c r="F3" s="49"/>
      <c r="G3" s="49"/>
      <c r="H3" s="49"/>
      <c r="I3" s="49"/>
    </row>
    <row r="4" spans="1:9">
      <c r="A4" s="49"/>
      <c r="B4" s="50"/>
      <c r="C4" s="65" t="s">
        <v>656</v>
      </c>
      <c r="D4" s="67">
        <v>45807</v>
      </c>
      <c r="E4" s="49" t="s">
        <v>657</v>
      </c>
      <c r="F4" s="49"/>
      <c r="G4" s="49"/>
      <c r="H4" s="49"/>
      <c r="I4" s="49"/>
    </row>
    <row r="5" spans="1:9">
      <c r="A5" s="49"/>
      <c r="B5" s="50"/>
      <c r="C5" s="64" t="s">
        <v>658</v>
      </c>
      <c r="D5" s="61">
        <v>45909</v>
      </c>
      <c r="E5" s="49" t="s">
        <v>659</v>
      </c>
      <c r="F5" s="49"/>
      <c r="G5" s="49"/>
      <c r="H5" s="49"/>
      <c r="I5" s="49"/>
    </row>
    <row r="6" spans="1:9">
      <c r="A6" s="49"/>
      <c r="B6" s="50"/>
      <c r="C6" s="64" t="s">
        <v>660</v>
      </c>
      <c r="D6" s="61">
        <v>45909</v>
      </c>
      <c r="E6" s="49" t="s">
        <v>659</v>
      </c>
      <c r="F6" s="49"/>
      <c r="G6" s="49"/>
      <c r="H6" s="49"/>
      <c r="I6" s="49"/>
    </row>
    <row r="7" spans="1:9">
      <c r="A7" s="49"/>
      <c r="B7" s="50"/>
      <c r="C7" s="64" t="s">
        <v>661</v>
      </c>
      <c r="D7" s="61">
        <v>45909</v>
      </c>
      <c r="E7" s="49" t="s">
        <v>659</v>
      </c>
      <c r="F7" s="49"/>
      <c r="G7" s="49"/>
      <c r="H7" s="49"/>
      <c r="I7" s="49"/>
    </row>
    <row r="8" spans="1:9">
      <c r="A8" s="49"/>
      <c r="B8" s="50" t="s">
        <v>242</v>
      </c>
      <c r="C8" s="65" t="s">
        <v>243</v>
      </c>
      <c r="D8" s="61">
        <v>45994</v>
      </c>
      <c r="E8" s="49" t="s">
        <v>481</v>
      </c>
      <c r="F8" s="49" t="s">
        <v>482</v>
      </c>
      <c r="G8" s="49"/>
      <c r="H8" s="49"/>
      <c r="I8" s="49"/>
    </row>
    <row r="9" spans="1:9">
      <c r="A9" s="49"/>
      <c r="B9" s="50"/>
      <c r="C9" s="65" t="s">
        <v>662</v>
      </c>
      <c r="D9" s="61">
        <v>45909</v>
      </c>
      <c r="E9" s="49" t="s">
        <v>657</v>
      </c>
      <c r="F9" s="49"/>
      <c r="G9" s="49"/>
      <c r="H9" s="49"/>
      <c r="I9" s="49"/>
    </row>
    <row r="10" spans="1:9">
      <c r="A10" s="49"/>
      <c r="B10" s="50"/>
      <c r="C10" s="65" t="s">
        <v>663</v>
      </c>
      <c r="D10" s="61">
        <v>45909</v>
      </c>
      <c r="E10" s="49" t="s">
        <v>664</v>
      </c>
      <c r="F10" s="49"/>
      <c r="G10" s="49"/>
      <c r="H10" s="49"/>
      <c r="I10" s="49"/>
    </row>
    <row r="11" spans="1:9">
      <c r="A11" s="49"/>
      <c r="B11" s="50"/>
      <c r="C11" s="65" t="s">
        <v>656</v>
      </c>
      <c r="D11" s="61">
        <v>45909</v>
      </c>
      <c r="E11" s="49" t="s">
        <v>665</v>
      </c>
      <c r="F11" s="49"/>
      <c r="G11" s="49"/>
      <c r="H11" s="49"/>
      <c r="I11" s="49"/>
    </row>
    <row r="12" spans="1:9">
      <c r="A12" s="49"/>
      <c r="B12" s="63"/>
      <c r="C12" s="65" t="s">
        <v>666</v>
      </c>
      <c r="D12" s="61">
        <v>45909</v>
      </c>
      <c r="E12" s="49" t="s">
        <v>667</v>
      </c>
      <c r="F12" s="49"/>
      <c r="G12" s="49"/>
      <c r="H12" s="49"/>
      <c r="I12" s="49"/>
    </row>
    <row r="13" spans="1:9">
      <c r="A13" s="49"/>
      <c r="B13" s="50"/>
      <c r="C13" s="65" t="s">
        <v>668</v>
      </c>
      <c r="D13" s="61">
        <v>45909</v>
      </c>
      <c r="E13" s="49" t="s">
        <v>669</v>
      </c>
      <c r="F13" s="49"/>
      <c r="G13" s="49"/>
      <c r="H13" s="49"/>
      <c r="I13" s="49"/>
    </row>
    <row r="14" spans="1:9">
      <c r="A14" s="49"/>
      <c r="B14" s="50"/>
      <c r="C14" s="65" t="s">
        <v>668</v>
      </c>
      <c r="D14" s="61">
        <v>45909</v>
      </c>
      <c r="E14" s="49" t="s">
        <v>669</v>
      </c>
      <c r="F14" s="49"/>
      <c r="G14" s="49"/>
      <c r="H14" s="49"/>
      <c r="I14" s="49"/>
    </row>
    <row r="15" spans="1:9">
      <c r="A15" s="49"/>
      <c r="B15" s="50"/>
      <c r="C15" s="65" t="s">
        <v>670</v>
      </c>
      <c r="D15" s="61">
        <v>45909</v>
      </c>
      <c r="E15" s="49" t="s">
        <v>669</v>
      </c>
      <c r="F15" s="49"/>
      <c r="G15" s="49"/>
      <c r="H15" s="49"/>
      <c r="I15" s="49"/>
    </row>
    <row r="16" spans="1:9">
      <c r="A16" s="49"/>
      <c r="B16" s="50"/>
      <c r="C16" s="65" t="s">
        <v>668</v>
      </c>
      <c r="D16" s="61">
        <v>45909</v>
      </c>
      <c r="E16" s="49" t="s">
        <v>54</v>
      </c>
      <c r="F16" s="49"/>
      <c r="G16" s="49"/>
      <c r="H16" s="49"/>
      <c r="I16" s="49"/>
    </row>
    <row r="17" spans="1:9">
      <c r="A17" s="49"/>
      <c r="B17" s="50" t="s">
        <v>126</v>
      </c>
      <c r="C17" s="64" t="s">
        <v>477</v>
      </c>
      <c r="D17" s="61">
        <v>45939</v>
      </c>
      <c r="E17" s="49" t="s">
        <v>21</v>
      </c>
      <c r="F17" s="49"/>
      <c r="G17" s="49"/>
      <c r="H17" s="49"/>
      <c r="I17" s="49"/>
    </row>
    <row r="18" spans="1:9">
      <c r="A18" s="49"/>
      <c r="B18" s="50"/>
      <c r="C18" s="64" t="s">
        <v>671</v>
      </c>
      <c r="D18" s="61">
        <v>45949</v>
      </c>
      <c r="E18" s="49" t="s">
        <v>27</v>
      </c>
      <c r="F18" s="49"/>
      <c r="G18" s="49"/>
      <c r="H18" s="49"/>
      <c r="I18" s="49"/>
    </row>
    <row r="19" spans="1:9">
      <c r="A19" s="49"/>
      <c r="B19" s="50" t="s">
        <v>246</v>
      </c>
      <c r="C19" s="65" t="s">
        <v>243</v>
      </c>
      <c r="D19" s="61">
        <v>45994</v>
      </c>
      <c r="E19" s="49" t="s">
        <v>483</v>
      </c>
      <c r="F19" s="49" t="s">
        <v>482</v>
      </c>
      <c r="G19" s="49"/>
      <c r="H19" s="49"/>
      <c r="I19" s="49"/>
    </row>
    <row r="20" spans="1:9">
      <c r="A20" s="49"/>
      <c r="B20" s="50"/>
      <c r="C20" s="65" t="s">
        <v>656</v>
      </c>
      <c r="D20" s="61">
        <v>45994</v>
      </c>
      <c r="E20" s="49" t="s">
        <v>672</v>
      </c>
      <c r="F20" s="49"/>
      <c r="G20" s="49"/>
      <c r="H20" s="49"/>
      <c r="I20" s="49"/>
    </row>
    <row r="21" spans="1:9">
      <c r="A21" s="49"/>
      <c r="B21" s="50"/>
      <c r="C21" s="65" t="s">
        <v>656</v>
      </c>
      <c r="D21" s="61">
        <v>45994</v>
      </c>
      <c r="E21" s="49" t="s">
        <v>667</v>
      </c>
      <c r="F21" s="49"/>
      <c r="G21" s="49"/>
      <c r="H21" s="49"/>
      <c r="I21" s="49"/>
    </row>
    <row r="22" spans="1:9">
      <c r="A22" s="49"/>
      <c r="B22" s="50" t="s">
        <v>673</v>
      </c>
      <c r="C22" s="65" t="s">
        <v>674</v>
      </c>
      <c r="D22" s="61">
        <v>45909</v>
      </c>
      <c r="E22" s="49" t="s">
        <v>675</v>
      </c>
      <c r="F22" s="49" t="s">
        <v>395</v>
      </c>
      <c r="G22" s="49"/>
      <c r="H22" s="49"/>
      <c r="I22" s="73" t="s">
        <v>242</v>
      </c>
    </row>
    <row r="23" spans="1:9">
      <c r="A23" s="49"/>
      <c r="B23" s="50"/>
      <c r="C23" s="65" t="s">
        <v>656</v>
      </c>
      <c r="D23" s="61">
        <v>45994</v>
      </c>
      <c r="E23" s="49" t="s">
        <v>676</v>
      </c>
      <c r="F23" s="49"/>
      <c r="G23" s="49"/>
      <c r="H23" s="49"/>
      <c r="I23" s="49"/>
    </row>
    <row r="24" spans="1:9">
      <c r="A24" s="49"/>
      <c r="B24" s="50"/>
      <c r="C24" s="65" t="s">
        <v>656</v>
      </c>
      <c r="D24" s="61">
        <v>45994</v>
      </c>
      <c r="E24" s="49" t="s">
        <v>664</v>
      </c>
      <c r="F24" s="49"/>
      <c r="G24" s="49"/>
      <c r="H24" s="49"/>
      <c r="I24" s="49"/>
    </row>
    <row r="25" spans="1:9">
      <c r="A25" s="49"/>
      <c r="B25" s="50"/>
      <c r="C25" s="65" t="s">
        <v>656</v>
      </c>
      <c r="D25" s="61">
        <v>45994</v>
      </c>
      <c r="E25" s="49" t="s">
        <v>677</v>
      </c>
      <c r="F25" s="49"/>
      <c r="G25" s="49"/>
      <c r="H25" s="49"/>
      <c r="I25" s="49"/>
    </row>
    <row r="26" spans="1:9">
      <c r="A26" s="49"/>
      <c r="B26" s="50"/>
      <c r="C26" s="65" t="s">
        <v>656</v>
      </c>
      <c r="D26" s="61">
        <v>45994</v>
      </c>
      <c r="E26" s="49" t="s">
        <v>678</v>
      </c>
      <c r="F26" s="49"/>
      <c r="G26" s="49"/>
      <c r="H26" s="49"/>
      <c r="I26" s="49"/>
    </row>
    <row r="27" spans="1:9">
      <c r="A27" s="49"/>
      <c r="B27" s="50"/>
      <c r="C27" s="65" t="s">
        <v>674</v>
      </c>
      <c r="D27" s="61">
        <v>45994</v>
      </c>
      <c r="E27" s="49" t="s">
        <v>679</v>
      </c>
      <c r="F27" s="49"/>
      <c r="G27" s="49"/>
      <c r="H27" s="49"/>
      <c r="I27" s="73" t="s">
        <v>246</v>
      </c>
    </row>
    <row r="28" spans="1:9">
      <c r="A28" s="49"/>
      <c r="B28" s="50"/>
      <c r="C28" s="65" t="s">
        <v>656</v>
      </c>
      <c r="D28" s="61">
        <v>45994</v>
      </c>
      <c r="E28" s="49" t="s">
        <v>680</v>
      </c>
      <c r="F28" s="49"/>
      <c r="G28" s="49"/>
      <c r="H28" s="49"/>
      <c r="I28" s="49"/>
    </row>
    <row r="29" spans="1:9">
      <c r="A29" s="49"/>
      <c r="B29" s="50"/>
      <c r="C29" s="65" t="s">
        <v>681</v>
      </c>
      <c r="D29" s="61">
        <v>45994</v>
      </c>
      <c r="E29" s="52" t="s">
        <v>678</v>
      </c>
      <c r="F29" s="52"/>
      <c r="G29" s="52"/>
      <c r="H29" s="52"/>
      <c r="I29" s="52"/>
    </row>
    <row r="30" spans="1:9">
      <c r="A30" s="49"/>
      <c r="B30" s="50"/>
      <c r="C30" s="65" t="s">
        <v>681</v>
      </c>
      <c r="D30" s="61">
        <v>45994</v>
      </c>
      <c r="E30" s="52" t="s">
        <v>678</v>
      </c>
      <c r="F30" s="52"/>
      <c r="G30" s="52"/>
      <c r="H30" s="52"/>
      <c r="I30" s="52"/>
    </row>
    <row r="31" spans="1:9">
      <c r="A31" s="49"/>
      <c r="B31" s="50" t="s">
        <v>484</v>
      </c>
      <c r="C31" s="65" t="s">
        <v>139</v>
      </c>
      <c r="D31" s="61">
        <v>45994</v>
      </c>
      <c r="E31" s="49" t="s">
        <v>414</v>
      </c>
      <c r="F31" s="49"/>
      <c r="G31" s="49">
        <v>3000</v>
      </c>
      <c r="H31" s="49"/>
      <c r="I31" s="73" t="s">
        <v>484</v>
      </c>
    </row>
    <row r="32" spans="1:9">
      <c r="A32" s="49"/>
      <c r="B32" s="50" t="s">
        <v>404</v>
      </c>
      <c r="C32" s="65" t="s">
        <v>400</v>
      </c>
      <c r="D32" s="61">
        <v>45777</v>
      </c>
      <c r="E32" s="49" t="s">
        <v>401</v>
      </c>
      <c r="F32" s="49" t="s">
        <v>402</v>
      </c>
      <c r="G32" s="49">
        <v>2000</v>
      </c>
      <c r="H32" s="49"/>
      <c r="I32" s="49"/>
    </row>
    <row r="33" spans="1:9">
      <c r="A33" s="49"/>
      <c r="B33" s="50" t="s">
        <v>682</v>
      </c>
      <c r="C33" s="65" t="s">
        <v>66</v>
      </c>
      <c r="D33" s="61">
        <v>46212</v>
      </c>
      <c r="E33" s="49" t="s">
        <v>401</v>
      </c>
      <c r="F33" s="49"/>
      <c r="G33" s="49">
        <v>1000</v>
      </c>
      <c r="H33" s="49"/>
      <c r="I33" s="49"/>
    </row>
    <row r="34" spans="1:9">
      <c r="A34" s="49"/>
      <c r="B34" s="50" t="s">
        <v>683</v>
      </c>
      <c r="C34" s="65" t="s">
        <v>66</v>
      </c>
      <c r="D34" s="61">
        <v>45878</v>
      </c>
      <c r="E34" s="49" t="s">
        <v>401</v>
      </c>
      <c r="F34" s="49"/>
      <c r="G34" s="49">
        <v>1000</v>
      </c>
      <c r="H34" s="49"/>
      <c r="I34" s="49"/>
    </row>
    <row r="35" spans="1:9">
      <c r="A35" s="49"/>
      <c r="B35" s="50" t="s">
        <v>197</v>
      </c>
      <c r="C35" s="65" t="s">
        <v>198</v>
      </c>
      <c r="D35" s="61">
        <v>45995</v>
      </c>
      <c r="E35" s="49" t="s">
        <v>199</v>
      </c>
      <c r="F35" s="49" t="s">
        <v>447</v>
      </c>
      <c r="G35" s="49">
        <v>2500</v>
      </c>
      <c r="H35" s="49"/>
      <c r="I35" s="49"/>
    </row>
    <row r="36" spans="1:9" ht="15" customHeight="1">
      <c r="A36" s="49"/>
      <c r="B36" s="50" t="s">
        <v>200</v>
      </c>
      <c r="C36" s="65" t="s">
        <v>198</v>
      </c>
      <c r="D36" s="61">
        <v>45995</v>
      </c>
      <c r="E36" s="49" t="s">
        <v>199</v>
      </c>
      <c r="F36" s="49" t="s">
        <v>447</v>
      </c>
      <c r="G36" s="49">
        <v>2500</v>
      </c>
      <c r="H36" s="49"/>
      <c r="I36" s="49"/>
    </row>
    <row r="37" spans="1:9" ht="15" customHeight="1">
      <c r="A37" s="49"/>
      <c r="B37" s="50" t="s">
        <v>201</v>
      </c>
      <c r="C37" s="65" t="s">
        <v>198</v>
      </c>
      <c r="D37" s="61">
        <v>45995</v>
      </c>
      <c r="E37" s="49" t="s">
        <v>199</v>
      </c>
      <c r="F37" s="49" t="s">
        <v>447</v>
      </c>
      <c r="G37" s="49">
        <v>2500</v>
      </c>
      <c r="H37" s="49"/>
      <c r="I37" s="49"/>
    </row>
    <row r="38" spans="1:9" ht="15" customHeight="1">
      <c r="A38" s="49"/>
      <c r="B38" s="50" t="s">
        <v>202</v>
      </c>
      <c r="C38" s="65" t="s">
        <v>198</v>
      </c>
      <c r="D38" s="61">
        <v>45995</v>
      </c>
      <c r="E38" s="49" t="s">
        <v>199</v>
      </c>
      <c r="F38" s="49" t="s">
        <v>447</v>
      </c>
      <c r="G38" s="49">
        <v>2500</v>
      </c>
      <c r="H38" s="49"/>
      <c r="I38" s="49"/>
    </row>
    <row r="39" spans="1:9" ht="15" customHeight="1">
      <c r="A39" s="49"/>
      <c r="B39" s="50" t="s">
        <v>203</v>
      </c>
      <c r="C39" s="65" t="s">
        <v>198</v>
      </c>
      <c r="D39" s="61">
        <v>45995</v>
      </c>
      <c r="E39" s="49" t="s">
        <v>199</v>
      </c>
      <c r="F39" s="49" t="s">
        <v>447</v>
      </c>
      <c r="G39" s="49">
        <v>2500</v>
      </c>
      <c r="H39" s="49"/>
      <c r="I39" s="49"/>
    </row>
    <row r="40" spans="1:9" ht="15" customHeight="1">
      <c r="A40" s="49"/>
      <c r="B40" s="50" t="s">
        <v>204</v>
      </c>
      <c r="C40" s="65" t="s">
        <v>198</v>
      </c>
      <c r="D40" s="61">
        <v>45995</v>
      </c>
      <c r="E40" s="49" t="s">
        <v>199</v>
      </c>
      <c r="F40" s="49" t="s">
        <v>447</v>
      </c>
      <c r="G40" s="49">
        <v>2500</v>
      </c>
      <c r="H40" s="49"/>
      <c r="I40" s="49"/>
    </row>
    <row r="41" spans="1:9" ht="15" customHeight="1">
      <c r="A41" s="49"/>
      <c r="B41" s="50" t="s">
        <v>205</v>
      </c>
      <c r="C41" s="65" t="s">
        <v>198</v>
      </c>
      <c r="D41" s="61">
        <v>45995</v>
      </c>
      <c r="E41" s="49" t="s">
        <v>199</v>
      </c>
      <c r="F41" s="49" t="s">
        <v>447</v>
      </c>
      <c r="G41" s="49">
        <v>2500</v>
      </c>
      <c r="H41" s="49"/>
      <c r="I41" s="49"/>
    </row>
    <row r="42" spans="1:9" ht="15" customHeight="1">
      <c r="A42" s="49"/>
      <c r="B42" s="50" t="s">
        <v>206</v>
      </c>
      <c r="C42" s="65" t="s">
        <v>198</v>
      </c>
      <c r="D42" s="61">
        <v>45995</v>
      </c>
      <c r="E42" s="49" t="s">
        <v>199</v>
      </c>
      <c r="F42" s="49" t="s">
        <v>447</v>
      </c>
      <c r="G42" s="49">
        <v>2500</v>
      </c>
      <c r="H42" s="49"/>
      <c r="I42" s="49"/>
    </row>
    <row r="43" spans="1:9" ht="15" customHeight="1">
      <c r="A43" s="49"/>
      <c r="B43" s="50" t="s">
        <v>207</v>
      </c>
      <c r="C43" s="65" t="s">
        <v>198</v>
      </c>
      <c r="D43" s="61">
        <v>45995</v>
      </c>
      <c r="E43" s="49" t="s">
        <v>199</v>
      </c>
      <c r="F43" s="49" t="s">
        <v>447</v>
      </c>
      <c r="G43" s="49">
        <v>2500</v>
      </c>
      <c r="H43" s="49"/>
      <c r="I43" s="49"/>
    </row>
    <row r="44" spans="1:9" ht="15" customHeight="1">
      <c r="A44" s="49"/>
      <c r="B44" s="50" t="s">
        <v>208</v>
      </c>
      <c r="C44" s="65" t="s">
        <v>198</v>
      </c>
      <c r="D44" s="61">
        <v>45995</v>
      </c>
      <c r="E44" s="49" t="s">
        <v>199</v>
      </c>
      <c r="F44" s="49" t="s">
        <v>447</v>
      </c>
      <c r="G44" s="49">
        <v>2500</v>
      </c>
      <c r="H44" s="49"/>
      <c r="I44" s="49"/>
    </row>
    <row r="45" spans="1:9" ht="15" customHeight="1">
      <c r="A45" s="49"/>
      <c r="B45" s="50" t="s">
        <v>209</v>
      </c>
      <c r="C45" s="65" t="s">
        <v>198</v>
      </c>
      <c r="D45" s="61">
        <v>45995</v>
      </c>
      <c r="E45" s="49" t="s">
        <v>199</v>
      </c>
      <c r="F45" s="49" t="s">
        <v>447</v>
      </c>
      <c r="G45" s="49">
        <v>2500</v>
      </c>
      <c r="H45" s="49"/>
      <c r="I45" s="49"/>
    </row>
    <row r="46" spans="1:9" ht="15" customHeight="1">
      <c r="A46" s="49"/>
      <c r="B46" s="50" t="s">
        <v>210</v>
      </c>
      <c r="C46" s="65" t="s">
        <v>198</v>
      </c>
      <c r="D46" s="61">
        <v>45995</v>
      </c>
      <c r="E46" s="49" t="s">
        <v>199</v>
      </c>
      <c r="F46" s="49" t="s">
        <v>447</v>
      </c>
      <c r="G46" s="49">
        <v>2500</v>
      </c>
      <c r="H46" s="49"/>
      <c r="I46" s="49"/>
    </row>
    <row r="47" spans="1:9" ht="15" customHeight="1">
      <c r="A47" s="49"/>
      <c r="B47" s="50" t="s">
        <v>211</v>
      </c>
      <c r="C47" s="65" t="s">
        <v>198</v>
      </c>
      <c r="D47" s="61">
        <v>45995</v>
      </c>
      <c r="E47" s="49" t="s">
        <v>199</v>
      </c>
      <c r="F47" s="49" t="s">
        <v>447</v>
      </c>
      <c r="G47" s="49">
        <v>2500</v>
      </c>
      <c r="H47" s="49"/>
      <c r="I47" s="49"/>
    </row>
    <row r="48" spans="1:9">
      <c r="A48" s="49"/>
      <c r="B48" s="50" t="s">
        <v>212</v>
      </c>
      <c r="C48" s="65" t="s">
        <v>198</v>
      </c>
      <c r="D48" s="61">
        <v>45995</v>
      </c>
      <c r="E48" s="49" t="s">
        <v>448</v>
      </c>
      <c r="F48" s="49" t="s">
        <v>447</v>
      </c>
      <c r="G48" s="49">
        <v>2500</v>
      </c>
      <c r="H48" s="49"/>
      <c r="I48" s="49"/>
    </row>
    <row r="49" spans="1:9">
      <c r="A49" s="49"/>
      <c r="B49" s="50" t="s">
        <v>214</v>
      </c>
      <c r="C49" s="65" t="s">
        <v>198</v>
      </c>
      <c r="D49" s="61">
        <v>45995</v>
      </c>
      <c r="E49" s="49" t="s">
        <v>448</v>
      </c>
      <c r="F49" s="49" t="s">
        <v>447</v>
      </c>
      <c r="G49" s="49">
        <v>2500</v>
      </c>
      <c r="H49" s="49"/>
      <c r="I49" s="49"/>
    </row>
    <row r="50" spans="1:9">
      <c r="A50" s="49"/>
      <c r="B50" s="50" t="s">
        <v>215</v>
      </c>
      <c r="C50" s="65" t="s">
        <v>198</v>
      </c>
      <c r="D50" s="61">
        <v>45995</v>
      </c>
      <c r="E50" s="49" t="s">
        <v>448</v>
      </c>
      <c r="F50" s="49" t="s">
        <v>447</v>
      </c>
      <c r="G50" s="49">
        <v>2500</v>
      </c>
      <c r="H50" s="49"/>
      <c r="I50" s="49"/>
    </row>
    <row r="51" spans="1:9">
      <c r="A51" s="49"/>
      <c r="B51" s="50" t="s">
        <v>216</v>
      </c>
      <c r="C51" s="65" t="s">
        <v>198</v>
      </c>
      <c r="D51" s="61">
        <v>45995</v>
      </c>
      <c r="E51" s="49" t="s">
        <v>448</v>
      </c>
      <c r="F51" s="49" t="s">
        <v>447</v>
      </c>
      <c r="G51" s="49">
        <v>2500</v>
      </c>
      <c r="H51" s="49"/>
      <c r="I51" s="49"/>
    </row>
    <row r="52" spans="1:9">
      <c r="A52" s="49"/>
      <c r="B52" s="50" t="s">
        <v>217</v>
      </c>
      <c r="C52" s="65" t="s">
        <v>198</v>
      </c>
      <c r="D52" s="61">
        <v>45995</v>
      </c>
      <c r="E52" s="49" t="s">
        <v>448</v>
      </c>
      <c r="F52" s="49" t="s">
        <v>447</v>
      </c>
      <c r="G52" s="49">
        <v>2500</v>
      </c>
      <c r="H52" s="49"/>
      <c r="I52" s="49"/>
    </row>
    <row r="53" spans="1:9">
      <c r="A53" s="49"/>
      <c r="B53" s="50" t="s">
        <v>218</v>
      </c>
      <c r="C53" s="65" t="s">
        <v>198</v>
      </c>
      <c r="D53" s="61">
        <v>45995</v>
      </c>
      <c r="E53" s="49" t="s">
        <v>448</v>
      </c>
      <c r="F53" s="49" t="s">
        <v>447</v>
      </c>
      <c r="G53" s="49">
        <v>2500</v>
      </c>
      <c r="H53" s="49"/>
      <c r="I53" s="49"/>
    </row>
    <row r="54" spans="1:9">
      <c r="A54" s="49"/>
      <c r="B54" s="50" t="s">
        <v>219</v>
      </c>
      <c r="C54" s="65" t="s">
        <v>198</v>
      </c>
      <c r="D54" s="61">
        <v>45995</v>
      </c>
      <c r="E54" s="49" t="s">
        <v>448</v>
      </c>
      <c r="F54" s="49" t="s">
        <v>447</v>
      </c>
      <c r="G54" s="49">
        <v>2500</v>
      </c>
      <c r="H54" s="49"/>
      <c r="I54" s="49"/>
    </row>
    <row r="55" spans="1:9">
      <c r="A55" s="49"/>
      <c r="B55" s="50" t="s">
        <v>220</v>
      </c>
      <c r="C55" s="65" t="s">
        <v>198</v>
      </c>
      <c r="D55" s="61">
        <v>45995</v>
      </c>
      <c r="E55" s="49" t="s">
        <v>448</v>
      </c>
      <c r="F55" s="49" t="s">
        <v>447</v>
      </c>
      <c r="G55" s="49">
        <v>2500</v>
      </c>
      <c r="H55" s="49"/>
      <c r="I55" s="49"/>
    </row>
    <row r="56" spans="1:9">
      <c r="A56" s="49"/>
      <c r="B56" s="50" t="s">
        <v>221</v>
      </c>
      <c r="C56" s="65" t="s">
        <v>198</v>
      </c>
      <c r="D56" s="61">
        <v>45995</v>
      </c>
      <c r="E56" s="49" t="s">
        <v>448</v>
      </c>
      <c r="F56" s="49" t="s">
        <v>447</v>
      </c>
      <c r="G56" s="49">
        <v>2500</v>
      </c>
      <c r="H56" s="49"/>
      <c r="I56" s="49"/>
    </row>
    <row r="57" spans="1:9">
      <c r="A57" s="49"/>
      <c r="B57" s="50" t="s">
        <v>222</v>
      </c>
      <c r="C57" s="65" t="s">
        <v>198</v>
      </c>
      <c r="D57" s="61">
        <v>45995</v>
      </c>
      <c r="E57" s="49" t="s">
        <v>448</v>
      </c>
      <c r="F57" s="49" t="s">
        <v>447</v>
      </c>
      <c r="G57" s="49">
        <v>2500</v>
      </c>
      <c r="H57" s="49"/>
      <c r="I57" s="49"/>
    </row>
    <row r="58" spans="1:9">
      <c r="A58" s="49"/>
      <c r="B58" s="50" t="s">
        <v>223</v>
      </c>
      <c r="C58" s="65" t="s">
        <v>198</v>
      </c>
      <c r="D58" s="61">
        <v>45995</v>
      </c>
      <c r="E58" s="49" t="s">
        <v>448</v>
      </c>
      <c r="F58" s="49" t="s">
        <v>447</v>
      </c>
      <c r="G58" s="49">
        <v>2500</v>
      </c>
      <c r="H58" s="49"/>
      <c r="I58" s="49"/>
    </row>
    <row r="59" spans="1:9">
      <c r="A59" s="49"/>
      <c r="B59" s="50" t="s">
        <v>224</v>
      </c>
      <c r="C59" s="65" t="s">
        <v>198</v>
      </c>
      <c r="D59" s="61">
        <v>45995</v>
      </c>
      <c r="E59" s="49" t="s">
        <v>448</v>
      </c>
      <c r="F59" s="49" t="s">
        <v>447</v>
      </c>
      <c r="G59" s="49">
        <v>2500</v>
      </c>
      <c r="H59" s="49"/>
      <c r="I59" s="49"/>
    </row>
    <row r="60" spans="1:9">
      <c r="A60" s="49"/>
      <c r="B60" s="50" t="s">
        <v>225</v>
      </c>
      <c r="C60" s="65" t="s">
        <v>198</v>
      </c>
      <c r="D60" s="61">
        <v>45995</v>
      </c>
      <c r="E60" s="49" t="s">
        <v>448</v>
      </c>
      <c r="F60" s="49" t="s">
        <v>447</v>
      </c>
      <c r="G60" s="49">
        <v>2500</v>
      </c>
      <c r="H60" s="49"/>
      <c r="I60" s="49"/>
    </row>
    <row r="61" spans="1:9">
      <c r="A61" s="49"/>
      <c r="B61" s="50" t="s">
        <v>226</v>
      </c>
      <c r="C61" s="65" t="s">
        <v>198</v>
      </c>
      <c r="D61" s="61">
        <v>45995</v>
      </c>
      <c r="E61" s="49" t="s">
        <v>448</v>
      </c>
      <c r="F61" s="49" t="s">
        <v>447</v>
      </c>
      <c r="G61" s="49">
        <v>2500</v>
      </c>
      <c r="H61" s="49"/>
      <c r="I61" s="49"/>
    </row>
    <row r="62" spans="1:9">
      <c r="A62" s="49"/>
      <c r="B62" s="50" t="s">
        <v>57</v>
      </c>
      <c r="C62" s="64" t="s">
        <v>452</v>
      </c>
      <c r="D62" s="61">
        <v>46001</v>
      </c>
      <c r="E62" s="49" t="s">
        <v>405</v>
      </c>
      <c r="F62" s="49"/>
      <c r="G62" s="49"/>
      <c r="H62" s="49"/>
      <c r="I62" s="49"/>
    </row>
    <row r="63" spans="1:9">
      <c r="A63" s="49"/>
      <c r="B63" s="50" t="s">
        <v>59</v>
      </c>
      <c r="C63" s="64" t="s">
        <v>453</v>
      </c>
      <c r="D63" s="61">
        <v>46001</v>
      </c>
      <c r="E63" s="49" t="s">
        <v>405</v>
      </c>
      <c r="F63" s="49"/>
      <c r="G63" s="49"/>
      <c r="H63" s="49"/>
      <c r="I63" s="49"/>
    </row>
    <row r="64" spans="1:9">
      <c r="A64" s="49"/>
      <c r="B64" s="50" t="s">
        <v>60</v>
      </c>
      <c r="C64" s="64" t="s">
        <v>454</v>
      </c>
      <c r="D64" s="61">
        <v>46001</v>
      </c>
      <c r="E64" s="49" t="s">
        <v>405</v>
      </c>
      <c r="F64" s="49"/>
      <c r="G64" s="49"/>
      <c r="H64" s="49"/>
      <c r="I64" s="49"/>
    </row>
    <row r="65" spans="1:9">
      <c r="A65" s="49"/>
      <c r="B65" s="50" t="s">
        <v>61</v>
      </c>
      <c r="C65" s="64" t="s">
        <v>455</v>
      </c>
      <c r="D65" s="61">
        <v>46001</v>
      </c>
      <c r="E65" s="49" t="s">
        <v>405</v>
      </c>
      <c r="F65" s="49"/>
      <c r="G65" s="49"/>
      <c r="H65" s="49"/>
      <c r="I65" s="49"/>
    </row>
    <row r="66" spans="1:9">
      <c r="A66" s="49"/>
      <c r="B66" s="50" t="s">
        <v>62</v>
      </c>
      <c r="C66" s="64" t="s">
        <v>456</v>
      </c>
      <c r="D66" s="61">
        <v>46001</v>
      </c>
      <c r="E66" s="49" t="s">
        <v>405</v>
      </c>
      <c r="F66" s="49"/>
      <c r="G66" s="49"/>
      <c r="H66" s="49"/>
      <c r="I66" s="49"/>
    </row>
    <row r="67" spans="1:9">
      <c r="A67" s="49"/>
      <c r="B67" s="50" t="s">
        <v>64</v>
      </c>
      <c r="C67" s="64" t="s">
        <v>458</v>
      </c>
      <c r="D67" s="61">
        <v>46001</v>
      </c>
      <c r="E67" s="49" t="s">
        <v>684</v>
      </c>
      <c r="F67" s="49"/>
      <c r="G67" s="49"/>
      <c r="H67" s="49"/>
      <c r="I67" s="49"/>
    </row>
    <row r="68" spans="1:9">
      <c r="A68" s="49"/>
      <c r="B68" s="50" t="s">
        <v>193</v>
      </c>
      <c r="C68" s="64" t="s">
        <v>459</v>
      </c>
      <c r="D68" s="61">
        <v>46001</v>
      </c>
      <c r="E68" s="49" t="s">
        <v>685</v>
      </c>
      <c r="F68" s="49" t="s">
        <v>450</v>
      </c>
      <c r="G68" s="49">
        <v>3200</v>
      </c>
      <c r="H68" s="49"/>
      <c r="I68" s="73" t="s">
        <v>193</v>
      </c>
    </row>
    <row r="69" spans="1:9">
      <c r="A69" s="49"/>
      <c r="B69" s="50" t="s">
        <v>196</v>
      </c>
      <c r="C69" s="64" t="s">
        <v>462</v>
      </c>
      <c r="D69" s="61">
        <v>46001</v>
      </c>
      <c r="E69" s="49" t="s">
        <v>405</v>
      </c>
      <c r="F69" s="49" t="s">
        <v>450</v>
      </c>
      <c r="G69" s="49">
        <v>10000</v>
      </c>
      <c r="H69" s="49"/>
      <c r="I69" s="73" t="s">
        <v>196</v>
      </c>
    </row>
    <row r="70" spans="1:9">
      <c r="A70" s="49"/>
      <c r="B70" s="50"/>
      <c r="C70" s="64" t="s">
        <v>686</v>
      </c>
      <c r="D70" s="61">
        <v>46001</v>
      </c>
      <c r="E70" s="49" t="s">
        <v>687</v>
      </c>
      <c r="F70" s="49"/>
      <c r="G70" s="49"/>
      <c r="H70" s="49"/>
      <c r="I70" s="49"/>
    </row>
    <row r="71" spans="1:9" ht="18.75" customHeight="1">
      <c r="A71" s="49"/>
      <c r="B71" s="50"/>
      <c r="C71" s="64" t="s">
        <v>688</v>
      </c>
      <c r="D71" s="61">
        <v>46001</v>
      </c>
      <c r="E71" s="49" t="s">
        <v>687</v>
      </c>
      <c r="F71" s="49"/>
      <c r="G71" s="49"/>
      <c r="H71" s="49"/>
      <c r="I71" s="49"/>
    </row>
    <row r="72" spans="1:9">
      <c r="A72" s="49"/>
      <c r="B72" s="54" t="s">
        <v>119</v>
      </c>
      <c r="C72" s="64" t="s">
        <v>463</v>
      </c>
      <c r="D72" s="61">
        <v>46001</v>
      </c>
      <c r="E72" s="52" t="s">
        <v>21</v>
      </c>
      <c r="F72" s="49" t="s">
        <v>426</v>
      </c>
      <c r="G72" s="49">
        <v>5000</v>
      </c>
      <c r="H72" s="52"/>
      <c r="I72" s="74" t="s">
        <v>119</v>
      </c>
    </row>
    <row r="73" spans="1:9">
      <c r="A73" s="49"/>
      <c r="B73" s="50" t="s">
        <v>121</v>
      </c>
      <c r="C73" s="64" t="s">
        <v>464</v>
      </c>
      <c r="D73" s="61">
        <v>46001</v>
      </c>
      <c r="E73" s="49" t="s">
        <v>21</v>
      </c>
      <c r="F73" s="49" t="s">
        <v>426</v>
      </c>
      <c r="G73" s="49">
        <v>10000</v>
      </c>
      <c r="H73" s="60" t="s">
        <v>403</v>
      </c>
      <c r="I73" s="73" t="s">
        <v>121</v>
      </c>
    </row>
    <row r="74" spans="1:9">
      <c r="A74" s="49"/>
      <c r="B74" s="50" t="s">
        <v>123</v>
      </c>
      <c r="C74" s="64" t="s">
        <v>465</v>
      </c>
      <c r="D74" s="61">
        <v>46001</v>
      </c>
      <c r="E74" s="49" t="s">
        <v>21</v>
      </c>
      <c r="F74" s="49" t="s">
        <v>426</v>
      </c>
      <c r="G74" s="49">
        <v>3000</v>
      </c>
      <c r="H74" s="49"/>
      <c r="I74" s="73" t="s">
        <v>123</v>
      </c>
    </row>
    <row r="75" spans="1:9">
      <c r="A75" s="49"/>
      <c r="B75" s="53"/>
      <c r="C75" s="64" t="s">
        <v>689</v>
      </c>
      <c r="D75" s="61">
        <v>46031</v>
      </c>
      <c r="E75" s="49" t="s">
        <v>690</v>
      </c>
      <c r="F75" s="49"/>
      <c r="G75" s="49"/>
      <c r="H75" s="49"/>
      <c r="I75" s="52"/>
    </row>
    <row r="76" spans="1:9">
      <c r="A76" s="49"/>
      <c r="B76" s="62" t="s">
        <v>474</v>
      </c>
      <c r="C76" s="64" t="s">
        <v>136</v>
      </c>
      <c r="D76" s="61">
        <v>46099</v>
      </c>
      <c r="E76" s="49" t="s">
        <v>473</v>
      </c>
      <c r="F76" s="49" t="s">
        <v>423</v>
      </c>
      <c r="G76" s="49">
        <v>5000</v>
      </c>
      <c r="H76" s="49"/>
      <c r="I76" s="73" t="s">
        <v>474</v>
      </c>
    </row>
    <row r="77" spans="1:9">
      <c r="A77" s="49"/>
      <c r="B77" s="50" t="s">
        <v>691</v>
      </c>
      <c r="C77" s="51" t="s">
        <v>692</v>
      </c>
      <c r="D77" s="59"/>
      <c r="E77" s="66"/>
      <c r="F77" s="66"/>
      <c r="G77" s="66"/>
      <c r="H77" s="66"/>
      <c r="I77" s="66"/>
    </row>
    <row r="78" spans="1:9">
      <c r="A78" s="49"/>
      <c r="B78" s="50" t="s">
        <v>693</v>
      </c>
      <c r="C78" s="51" t="s">
        <v>692</v>
      </c>
      <c r="D78" s="56"/>
      <c r="E78" s="66"/>
      <c r="F78" s="66"/>
      <c r="G78" s="66"/>
      <c r="H78" s="66"/>
      <c r="I78" s="66"/>
    </row>
    <row r="79" spans="1:9">
      <c r="A79" s="49"/>
      <c r="B79" s="50" t="s">
        <v>694</v>
      </c>
      <c r="C79" s="51" t="s">
        <v>695</v>
      </c>
      <c r="D79" s="56"/>
      <c r="E79" s="66"/>
      <c r="F79" s="66"/>
      <c r="G79" s="66"/>
      <c r="H79" s="66"/>
      <c r="I79" s="66"/>
    </row>
    <row r="80" spans="1:9">
      <c r="A80" s="49"/>
      <c r="B80" s="50" t="s">
        <v>696</v>
      </c>
      <c r="C80" s="68" t="s">
        <v>695</v>
      </c>
      <c r="D80" s="56"/>
      <c r="E80" s="49"/>
      <c r="F80" s="49"/>
      <c r="G80" s="49"/>
      <c r="H80" s="49"/>
      <c r="I80" s="49"/>
    </row>
    <row r="81" spans="1:9">
      <c r="A81" s="49"/>
      <c r="B81" s="50" t="s">
        <v>697</v>
      </c>
      <c r="C81" s="51" t="s">
        <v>698</v>
      </c>
      <c r="D81" s="56"/>
      <c r="E81" s="49"/>
      <c r="F81" s="49"/>
      <c r="G81" s="49"/>
      <c r="H81" s="49"/>
      <c r="I81" s="49"/>
    </row>
    <row r="82" spans="1:9">
      <c r="A82" s="49"/>
      <c r="B82" s="50" t="s">
        <v>699</v>
      </c>
      <c r="C82" s="51" t="s">
        <v>700</v>
      </c>
      <c r="D82" s="56"/>
      <c r="E82" s="49"/>
      <c r="F82" s="49" t="s">
        <v>701</v>
      </c>
      <c r="G82" s="49"/>
      <c r="H82" s="49"/>
      <c r="I82" s="49"/>
    </row>
    <row r="83" spans="1:9">
      <c r="A83" s="49"/>
      <c r="B83" s="50" t="s">
        <v>629</v>
      </c>
      <c r="C83" s="51" t="s">
        <v>700</v>
      </c>
      <c r="D83" s="56"/>
      <c r="E83" s="49"/>
      <c r="F83" s="49" t="s">
        <v>701</v>
      </c>
      <c r="G83" s="49"/>
      <c r="H83" s="49"/>
      <c r="I83" s="49"/>
    </row>
    <row r="84" spans="1:9">
      <c r="A84" s="49"/>
      <c r="B84" s="50"/>
      <c r="C84" s="64" t="s">
        <v>702</v>
      </c>
      <c r="D84" s="61"/>
      <c r="E84" s="49" t="s">
        <v>703</v>
      </c>
      <c r="F84" s="49"/>
      <c r="G84" s="49"/>
      <c r="H84" s="49"/>
      <c r="I84" s="49"/>
    </row>
    <row r="85" spans="1:9">
      <c r="A85" s="49"/>
      <c r="B85" s="50"/>
      <c r="C85" s="64" t="s">
        <v>704</v>
      </c>
      <c r="D85" s="61"/>
      <c r="E85" s="49" t="s">
        <v>703</v>
      </c>
      <c r="F85" s="49"/>
      <c r="G85" s="49"/>
      <c r="H85" s="49"/>
      <c r="I85" s="49"/>
    </row>
    <row r="86" spans="1:9">
      <c r="A86" s="49"/>
      <c r="B86" s="50"/>
      <c r="C86" s="64" t="s">
        <v>705</v>
      </c>
      <c r="D86" s="61"/>
      <c r="E86" s="49" t="s">
        <v>706</v>
      </c>
      <c r="F86" s="49"/>
      <c r="G86" s="49"/>
      <c r="H86" s="49"/>
      <c r="I86" s="49"/>
    </row>
    <row r="87" spans="1:9">
      <c r="A87" s="49"/>
      <c r="B87" s="50"/>
      <c r="C87" s="64" t="s">
        <v>707</v>
      </c>
      <c r="D87" s="61"/>
      <c r="E87" s="49" t="s">
        <v>706</v>
      </c>
      <c r="F87" s="49"/>
      <c r="G87" s="49"/>
      <c r="H87" s="49"/>
      <c r="I87" s="49"/>
    </row>
    <row r="88" spans="1:9">
      <c r="A88" s="49"/>
      <c r="B88" s="50"/>
      <c r="C88" s="64" t="s">
        <v>708</v>
      </c>
      <c r="D88" s="61"/>
      <c r="E88" s="49" t="s">
        <v>706</v>
      </c>
      <c r="F88" s="49"/>
      <c r="G88" s="49"/>
      <c r="H88" s="49"/>
      <c r="I88" s="49"/>
    </row>
    <row r="89" spans="1:9">
      <c r="A89" s="49"/>
      <c r="B89" s="50"/>
      <c r="C89" s="64" t="s">
        <v>709</v>
      </c>
      <c r="D89" s="61"/>
      <c r="E89" s="49" t="s">
        <v>706</v>
      </c>
      <c r="F89" s="49"/>
      <c r="G89" s="49"/>
      <c r="H89" s="49"/>
      <c r="I89" s="49"/>
    </row>
    <row r="90" spans="1:9">
      <c r="A90" s="49"/>
      <c r="B90" s="50"/>
      <c r="C90" s="64" t="s">
        <v>710</v>
      </c>
      <c r="D90" s="61"/>
      <c r="E90" s="66" t="s">
        <v>137</v>
      </c>
      <c r="F90" s="66"/>
      <c r="G90" s="66"/>
      <c r="H90" s="66"/>
      <c r="I90" s="66"/>
    </row>
    <row r="91" spans="1:9">
      <c r="A91" s="49"/>
      <c r="B91" s="50"/>
      <c r="C91" s="64" t="s">
        <v>711</v>
      </c>
      <c r="D91" s="61"/>
      <c r="E91" s="66" t="s">
        <v>137</v>
      </c>
      <c r="F91" s="66"/>
      <c r="G91" s="66"/>
      <c r="H91" s="66"/>
      <c r="I91" s="66"/>
    </row>
    <row r="92" spans="1:9">
      <c r="A92" s="49"/>
      <c r="B92" s="50"/>
      <c r="C92" s="64" t="s">
        <v>712</v>
      </c>
      <c r="D92" s="61"/>
      <c r="E92" s="66" t="s">
        <v>687</v>
      </c>
      <c r="F92" s="66"/>
      <c r="G92" s="66"/>
      <c r="H92" s="66"/>
      <c r="I92" s="66"/>
    </row>
    <row r="93" spans="1:9">
      <c r="A93" s="49"/>
      <c r="B93" s="50"/>
      <c r="C93" s="65" t="s">
        <v>713</v>
      </c>
      <c r="D93" s="61"/>
      <c r="E93" s="66" t="s">
        <v>137</v>
      </c>
      <c r="F93" s="66"/>
      <c r="G93" s="66"/>
      <c r="H93" s="66"/>
      <c r="I93" s="66"/>
    </row>
    <row r="94" spans="1:9" ht="15" customHeight="1">
      <c r="A94" s="49"/>
      <c r="B94" s="57"/>
      <c r="C94" s="65" t="s">
        <v>714</v>
      </c>
      <c r="D94" s="61"/>
      <c r="E94" s="66" t="s">
        <v>137</v>
      </c>
      <c r="F94" s="66"/>
      <c r="G94" s="66"/>
      <c r="H94" s="66"/>
      <c r="I94" s="66"/>
    </row>
    <row r="95" spans="1:9">
      <c r="A95" s="49"/>
      <c r="B95" s="50"/>
      <c r="C95" s="65" t="s">
        <v>715</v>
      </c>
      <c r="D95" s="61"/>
      <c r="E95" s="66" t="s">
        <v>716</v>
      </c>
      <c r="F95" s="66"/>
      <c r="G95" s="66"/>
      <c r="H95" s="66"/>
      <c r="I95" s="66"/>
    </row>
    <row r="96" spans="1:9">
      <c r="A96" s="49"/>
      <c r="B96" s="50"/>
      <c r="C96" s="65" t="s">
        <v>717</v>
      </c>
      <c r="D96" s="61"/>
      <c r="E96" s="66" t="s">
        <v>718</v>
      </c>
      <c r="F96" s="66"/>
      <c r="G96" s="66"/>
      <c r="H96" s="66"/>
      <c r="I96" s="66"/>
    </row>
    <row r="97" spans="1:9">
      <c r="A97" s="49"/>
      <c r="B97" s="50"/>
      <c r="C97" s="64" t="s">
        <v>719</v>
      </c>
      <c r="D97" s="61"/>
      <c r="E97" s="66" t="s">
        <v>687</v>
      </c>
      <c r="F97" s="66"/>
      <c r="G97" s="66"/>
      <c r="H97" s="66"/>
      <c r="I97" s="66"/>
    </row>
    <row r="98" spans="1:9">
      <c r="A98" s="49"/>
      <c r="B98" s="50"/>
      <c r="C98" s="64" t="s">
        <v>720</v>
      </c>
      <c r="D98" s="61"/>
      <c r="E98" s="66" t="s">
        <v>67</v>
      </c>
      <c r="F98" s="66"/>
      <c r="G98" s="66"/>
      <c r="H98" s="66"/>
      <c r="I98" s="66"/>
    </row>
    <row r="99" spans="1:9">
      <c r="A99" s="49"/>
      <c r="B99" s="50"/>
      <c r="C99" s="64" t="s">
        <v>721</v>
      </c>
      <c r="D99" s="61"/>
      <c r="E99" s="66" t="s">
        <v>67</v>
      </c>
      <c r="F99" s="66"/>
      <c r="G99" s="66"/>
      <c r="H99" s="66"/>
      <c r="I99" s="66"/>
    </row>
    <row r="100" spans="1:9">
      <c r="A100" s="49"/>
      <c r="B100" s="50"/>
      <c r="C100" s="64" t="s">
        <v>722</v>
      </c>
      <c r="D100" s="61"/>
      <c r="E100" s="66" t="s">
        <v>67</v>
      </c>
      <c r="F100" s="66"/>
      <c r="G100" s="66"/>
      <c r="H100" s="66"/>
      <c r="I100" s="66"/>
    </row>
    <row r="101" spans="1:9">
      <c r="A101" s="49"/>
      <c r="B101" s="54"/>
      <c r="C101" s="65" t="s">
        <v>723</v>
      </c>
      <c r="D101" s="61"/>
      <c r="E101" s="66" t="s">
        <v>724</v>
      </c>
      <c r="F101" s="66"/>
      <c r="G101" s="66"/>
      <c r="H101" s="66"/>
      <c r="I101" s="66"/>
    </row>
    <row r="102" spans="1:9">
      <c r="A102" s="49"/>
      <c r="B102" s="54"/>
      <c r="C102" s="65" t="s">
        <v>725</v>
      </c>
      <c r="D102" s="61"/>
      <c r="E102" s="66" t="s">
        <v>726</v>
      </c>
      <c r="F102" s="66"/>
      <c r="G102" s="66"/>
      <c r="H102" s="66"/>
      <c r="I102" s="66"/>
    </row>
    <row r="103" spans="1:9">
      <c r="A103" s="49"/>
      <c r="B103" s="54"/>
      <c r="C103" s="65" t="s">
        <v>727</v>
      </c>
      <c r="D103" s="61"/>
      <c r="E103" s="66" t="s">
        <v>728</v>
      </c>
      <c r="F103" s="66"/>
      <c r="G103" s="66"/>
      <c r="H103" s="66"/>
      <c r="I103" s="66"/>
    </row>
    <row r="104" spans="1:9">
      <c r="A104" s="49"/>
      <c r="B104" s="54"/>
      <c r="C104" s="65" t="s">
        <v>729</v>
      </c>
      <c r="D104" s="61"/>
      <c r="E104" s="66" t="s">
        <v>730</v>
      </c>
      <c r="F104" s="66"/>
      <c r="G104" s="66"/>
      <c r="H104" s="66"/>
      <c r="I104" s="66"/>
    </row>
    <row r="105" spans="1:9">
      <c r="A105" s="49"/>
      <c r="B105" s="54"/>
      <c r="C105" s="65" t="s">
        <v>731</v>
      </c>
      <c r="D105" s="61"/>
      <c r="E105" s="66" t="s">
        <v>732</v>
      </c>
      <c r="F105" s="66"/>
      <c r="G105" s="66"/>
      <c r="H105" s="66"/>
      <c r="I105" s="66"/>
    </row>
    <row r="106" spans="1:9">
      <c r="A106" s="49"/>
      <c r="B106" s="54"/>
      <c r="C106" s="65" t="s">
        <v>733</v>
      </c>
      <c r="D106" s="61"/>
      <c r="E106" s="66" t="s">
        <v>734</v>
      </c>
      <c r="F106" s="66"/>
      <c r="G106" s="66"/>
      <c r="H106" s="66"/>
      <c r="I106" s="66"/>
    </row>
    <row r="107" spans="1:9">
      <c r="A107" s="49"/>
      <c r="B107" s="54"/>
      <c r="C107" s="65" t="s">
        <v>735</v>
      </c>
      <c r="D107" s="61"/>
      <c r="E107" s="66" t="s">
        <v>736</v>
      </c>
      <c r="F107" s="66"/>
      <c r="G107" s="66"/>
      <c r="H107" s="66"/>
      <c r="I107" s="66"/>
    </row>
    <row r="108" spans="1:9">
      <c r="A108" s="49"/>
      <c r="B108" s="54"/>
      <c r="C108" s="65" t="s">
        <v>737</v>
      </c>
      <c r="D108" s="61"/>
      <c r="E108" s="66" t="s">
        <v>488</v>
      </c>
      <c r="F108" s="66"/>
      <c r="G108" s="66"/>
      <c r="H108" s="66"/>
      <c r="I108" s="66"/>
    </row>
    <row r="109" spans="1:9">
      <c r="A109" s="49"/>
      <c r="B109" s="54"/>
      <c r="C109" s="65" t="s">
        <v>738</v>
      </c>
      <c r="D109" s="61"/>
      <c r="E109" s="66" t="s">
        <v>679</v>
      </c>
      <c r="F109" s="66"/>
      <c r="G109" s="66"/>
      <c r="H109" s="66"/>
      <c r="I109" s="66"/>
    </row>
    <row r="110" spans="1:9">
      <c r="A110" s="49"/>
      <c r="B110" s="54"/>
      <c r="C110" s="65" t="s">
        <v>739</v>
      </c>
      <c r="D110" s="61"/>
      <c r="E110" s="66" t="s">
        <v>740</v>
      </c>
      <c r="F110" s="66"/>
      <c r="G110" s="66"/>
      <c r="H110" s="66"/>
      <c r="I110" s="66"/>
    </row>
    <row r="111" spans="1:9">
      <c r="A111" s="49"/>
      <c r="B111" s="54"/>
      <c r="C111" s="65" t="s">
        <v>741</v>
      </c>
      <c r="D111" s="61"/>
      <c r="E111" s="66" t="s">
        <v>742</v>
      </c>
      <c r="F111" s="66"/>
      <c r="G111" s="66"/>
      <c r="H111" s="66"/>
      <c r="I111" s="66"/>
    </row>
    <row r="112" spans="1:9">
      <c r="A112" s="49"/>
      <c r="B112" s="54"/>
      <c r="C112" s="65" t="s">
        <v>743</v>
      </c>
      <c r="D112" s="61"/>
      <c r="E112" s="66" t="s">
        <v>488</v>
      </c>
      <c r="F112" s="66"/>
      <c r="G112" s="66"/>
      <c r="H112" s="66"/>
      <c r="I112" s="66"/>
    </row>
    <row r="113" spans="1:9">
      <c r="A113" s="49"/>
      <c r="B113" s="54"/>
      <c r="C113" s="65" t="s">
        <v>744</v>
      </c>
      <c r="D113" s="61"/>
      <c r="E113" s="66" t="s">
        <v>488</v>
      </c>
      <c r="F113" s="66"/>
      <c r="G113" s="66"/>
      <c r="H113" s="66"/>
      <c r="I113" s="66"/>
    </row>
    <row r="114" spans="1:9">
      <c r="A114" s="49"/>
      <c r="B114" s="54"/>
      <c r="C114" s="65" t="s">
        <v>745</v>
      </c>
      <c r="D114" s="61"/>
      <c r="E114" s="66" t="s">
        <v>488</v>
      </c>
      <c r="F114" s="66"/>
      <c r="G114" s="66"/>
      <c r="H114" s="66"/>
      <c r="I114" s="66"/>
    </row>
    <row r="115" spans="1:9">
      <c r="A115" s="49"/>
      <c r="B115" s="54"/>
      <c r="C115" s="65" t="s">
        <v>746</v>
      </c>
      <c r="D115" s="61"/>
      <c r="E115" s="66" t="s">
        <v>488</v>
      </c>
      <c r="F115" s="66"/>
      <c r="G115" s="66"/>
      <c r="H115" s="66"/>
      <c r="I115" s="66"/>
    </row>
    <row r="116" spans="1:9">
      <c r="A116" s="49"/>
      <c r="B116" s="54"/>
      <c r="C116" s="65" t="s">
        <v>747</v>
      </c>
      <c r="D116" s="61"/>
      <c r="E116" s="66" t="s">
        <v>748</v>
      </c>
      <c r="F116" s="66"/>
      <c r="G116" s="66"/>
      <c r="H116" s="66"/>
      <c r="I116" s="66"/>
    </row>
    <row r="117" spans="1:9">
      <c r="A117" s="49"/>
      <c r="B117" s="50" t="s">
        <v>407</v>
      </c>
      <c r="C117" s="51" t="s">
        <v>160</v>
      </c>
      <c r="D117" s="56">
        <v>45909</v>
      </c>
      <c r="E117" s="49" t="s">
        <v>405</v>
      </c>
      <c r="F117" s="49" t="s">
        <v>406</v>
      </c>
      <c r="G117" s="49">
        <v>100000</v>
      </c>
      <c r="H117" s="49"/>
      <c r="I117" s="73" t="s">
        <v>407</v>
      </c>
    </row>
    <row r="118" spans="1:9">
      <c r="A118" s="49"/>
      <c r="B118" s="50" t="s">
        <v>485</v>
      </c>
      <c r="C118" s="51" t="s">
        <v>160</v>
      </c>
      <c r="D118" s="56">
        <v>45909</v>
      </c>
      <c r="E118" s="49" t="s">
        <v>405</v>
      </c>
      <c r="F118" s="49" t="s">
        <v>406</v>
      </c>
      <c r="G118" s="49">
        <v>100000</v>
      </c>
      <c r="H118" s="49"/>
      <c r="I118" s="73" t="s">
        <v>485</v>
      </c>
    </row>
    <row r="119" spans="1:9">
      <c r="A119" s="49"/>
      <c r="B119" s="50" t="s">
        <v>487</v>
      </c>
      <c r="C119" s="51" t="s">
        <v>192</v>
      </c>
      <c r="D119" s="56">
        <v>45909</v>
      </c>
      <c r="E119" s="49" t="s">
        <v>405</v>
      </c>
      <c r="F119" s="49" t="s">
        <v>486</v>
      </c>
      <c r="G119" s="49">
        <v>200</v>
      </c>
      <c r="H119" s="49"/>
      <c r="I119" s="73" t="s">
        <v>487</v>
      </c>
    </row>
    <row r="120" spans="1:9">
      <c r="A120" s="49"/>
      <c r="B120" s="50" t="s">
        <v>479</v>
      </c>
      <c r="C120" s="51" t="s">
        <v>268</v>
      </c>
      <c r="D120" s="56">
        <v>45777</v>
      </c>
      <c r="E120" s="49" t="s">
        <v>405</v>
      </c>
      <c r="F120" s="49"/>
      <c r="G120" s="49">
        <v>500</v>
      </c>
      <c r="H120" s="49"/>
      <c r="I120" s="73" t="s">
        <v>479</v>
      </c>
    </row>
    <row r="121" spans="1:9">
      <c r="A121" s="49"/>
      <c r="B121" s="50" t="s">
        <v>429</v>
      </c>
      <c r="C121" s="51" t="s">
        <v>276</v>
      </c>
      <c r="D121" s="56">
        <v>45994</v>
      </c>
      <c r="E121" s="49"/>
      <c r="F121" s="49"/>
      <c r="G121" s="49">
        <v>20000</v>
      </c>
      <c r="H121" s="49"/>
      <c r="I121" s="73" t="s">
        <v>429</v>
      </c>
    </row>
    <row r="122" spans="1:9">
      <c r="A122" s="49"/>
      <c r="B122" s="50" t="s">
        <v>517</v>
      </c>
      <c r="C122" s="51" t="s">
        <v>276</v>
      </c>
      <c r="D122" s="56">
        <v>45909</v>
      </c>
      <c r="E122" s="49"/>
      <c r="F122" s="49" t="s">
        <v>423</v>
      </c>
      <c r="G122" s="49">
        <v>20000</v>
      </c>
      <c r="H122" s="49"/>
      <c r="I122" s="73" t="s">
        <v>517</v>
      </c>
    </row>
    <row r="123" spans="1:9">
      <c r="A123" s="49"/>
      <c r="B123" s="50" t="s">
        <v>430</v>
      </c>
      <c r="C123" s="51" t="s">
        <v>276</v>
      </c>
      <c r="D123" s="56">
        <v>45994</v>
      </c>
      <c r="E123" s="49"/>
      <c r="F123" s="49"/>
      <c r="G123" s="49">
        <v>20000</v>
      </c>
      <c r="H123" s="49"/>
      <c r="I123" s="73" t="s">
        <v>430</v>
      </c>
    </row>
    <row r="124" spans="1:9">
      <c r="A124" s="49"/>
      <c r="B124" s="50" t="s">
        <v>431</v>
      </c>
      <c r="C124" s="51" t="s">
        <v>276</v>
      </c>
      <c r="D124" s="56">
        <v>45994</v>
      </c>
      <c r="E124" s="49"/>
      <c r="F124" s="49"/>
      <c r="G124" s="49">
        <v>20000</v>
      </c>
      <c r="H124" s="49"/>
      <c r="I124" s="73" t="s">
        <v>431</v>
      </c>
    </row>
    <row r="125" spans="1:9">
      <c r="A125" s="49"/>
      <c r="B125" s="50" t="s">
        <v>518</v>
      </c>
      <c r="C125" s="51" t="s">
        <v>276</v>
      </c>
      <c r="D125" s="56">
        <v>45909</v>
      </c>
      <c r="E125" s="49"/>
      <c r="F125" s="49"/>
      <c r="G125" s="49">
        <v>20000</v>
      </c>
      <c r="H125" s="49"/>
      <c r="I125" s="73" t="s">
        <v>518</v>
      </c>
    </row>
    <row r="126" spans="1:9">
      <c r="A126" s="49"/>
      <c r="B126" s="50" t="s">
        <v>432</v>
      </c>
      <c r="C126" s="51" t="s">
        <v>276</v>
      </c>
      <c r="D126" s="56">
        <v>45994</v>
      </c>
      <c r="E126" s="49"/>
      <c r="F126" s="49"/>
      <c r="G126" s="49">
        <v>20000</v>
      </c>
      <c r="H126" s="49"/>
      <c r="I126" s="73" t="s">
        <v>432</v>
      </c>
    </row>
    <row r="127" spans="1:9">
      <c r="A127" s="49"/>
      <c r="B127" s="50" t="s">
        <v>519</v>
      </c>
      <c r="C127" s="51" t="s">
        <v>276</v>
      </c>
      <c r="D127" s="56">
        <v>45909</v>
      </c>
      <c r="E127" s="49"/>
      <c r="F127" s="49"/>
      <c r="G127" s="49">
        <v>20000</v>
      </c>
      <c r="H127" s="49"/>
      <c r="I127" s="73" t="s">
        <v>519</v>
      </c>
    </row>
    <row r="128" spans="1:9">
      <c r="A128" s="49"/>
      <c r="B128" s="50" t="s">
        <v>433</v>
      </c>
      <c r="C128" s="51" t="s">
        <v>276</v>
      </c>
      <c r="D128" s="56">
        <v>45994</v>
      </c>
      <c r="E128" s="49"/>
      <c r="F128" s="49"/>
      <c r="G128" s="49">
        <v>20000</v>
      </c>
      <c r="H128" s="49"/>
      <c r="I128" s="73" t="s">
        <v>433</v>
      </c>
    </row>
    <row r="129" spans="1:9">
      <c r="A129" s="49"/>
      <c r="B129" s="50" t="s">
        <v>520</v>
      </c>
      <c r="C129" s="51" t="s">
        <v>276</v>
      </c>
      <c r="D129" s="56">
        <v>45909</v>
      </c>
      <c r="E129" s="49"/>
      <c r="F129" s="49"/>
      <c r="G129" s="49">
        <v>20000</v>
      </c>
      <c r="H129" s="49"/>
      <c r="I129" s="73" t="s">
        <v>520</v>
      </c>
    </row>
    <row r="130" spans="1:9">
      <c r="A130" s="49"/>
      <c r="B130" s="50" t="s">
        <v>419</v>
      </c>
      <c r="C130" s="51" t="s">
        <v>276</v>
      </c>
      <c r="D130" s="56">
        <v>45994</v>
      </c>
      <c r="E130" s="49"/>
      <c r="F130" s="49"/>
      <c r="G130" s="49">
        <v>20000</v>
      </c>
      <c r="H130" s="49"/>
      <c r="I130" s="73" t="s">
        <v>419</v>
      </c>
    </row>
    <row r="131" spans="1:9">
      <c r="A131" s="49"/>
      <c r="B131" s="50" t="s">
        <v>521</v>
      </c>
      <c r="C131" s="51" t="s">
        <v>276</v>
      </c>
      <c r="D131" s="56">
        <v>45909</v>
      </c>
      <c r="E131" s="49"/>
      <c r="F131" s="49"/>
      <c r="G131" s="49">
        <v>20000</v>
      </c>
      <c r="H131" s="49"/>
      <c r="I131" s="73" t="s">
        <v>521</v>
      </c>
    </row>
    <row r="132" spans="1:9">
      <c r="A132" s="49"/>
      <c r="B132" s="50" t="s">
        <v>522</v>
      </c>
      <c r="C132" s="51" t="s">
        <v>276</v>
      </c>
      <c r="D132" s="56">
        <v>45909</v>
      </c>
      <c r="E132" s="49"/>
      <c r="F132" s="49"/>
      <c r="G132" s="49">
        <v>20000</v>
      </c>
      <c r="H132" s="49"/>
      <c r="I132" s="73" t="s">
        <v>522</v>
      </c>
    </row>
    <row r="133" spans="1:9">
      <c r="A133" s="49"/>
      <c r="B133" s="50" t="s">
        <v>434</v>
      </c>
      <c r="C133" s="51" t="s">
        <v>276</v>
      </c>
      <c r="D133" s="56">
        <v>45909</v>
      </c>
      <c r="E133" s="49"/>
      <c r="F133" s="49"/>
      <c r="G133" s="49">
        <v>20000</v>
      </c>
      <c r="H133" s="49"/>
      <c r="I133" s="73" t="s">
        <v>434</v>
      </c>
    </row>
    <row r="134" spans="1:9">
      <c r="A134" s="49"/>
      <c r="B134" s="50" t="s">
        <v>523</v>
      </c>
      <c r="C134" s="51" t="s">
        <v>276</v>
      </c>
      <c r="D134" s="56">
        <v>45909</v>
      </c>
      <c r="E134" s="49"/>
      <c r="F134" s="49" t="s">
        <v>423</v>
      </c>
      <c r="G134" s="49">
        <v>20000</v>
      </c>
      <c r="H134" s="49"/>
      <c r="I134" s="73" t="s">
        <v>523</v>
      </c>
    </row>
    <row r="135" spans="1:9">
      <c r="A135" s="49"/>
      <c r="B135" s="50" t="s">
        <v>524</v>
      </c>
      <c r="C135" s="51" t="s">
        <v>276</v>
      </c>
      <c r="D135" s="56">
        <v>45909</v>
      </c>
      <c r="E135" s="49"/>
      <c r="F135" s="49" t="s">
        <v>423</v>
      </c>
      <c r="G135" s="49">
        <v>20000</v>
      </c>
      <c r="H135" s="49"/>
      <c r="I135" s="73" t="s">
        <v>524</v>
      </c>
    </row>
    <row r="136" spans="1:9">
      <c r="A136" s="49"/>
      <c r="B136" s="50" t="s">
        <v>526</v>
      </c>
      <c r="C136" s="51" t="s">
        <v>276</v>
      </c>
      <c r="D136" s="56">
        <v>45909</v>
      </c>
      <c r="E136" s="49"/>
      <c r="F136" s="49" t="s">
        <v>525</v>
      </c>
      <c r="G136" s="49">
        <v>60000</v>
      </c>
      <c r="H136" s="49"/>
      <c r="I136" s="73" t="s">
        <v>526</v>
      </c>
    </row>
    <row r="137" spans="1:9">
      <c r="A137" s="49"/>
      <c r="B137" s="50" t="s">
        <v>422</v>
      </c>
      <c r="C137" s="51" t="s">
        <v>276</v>
      </c>
      <c r="D137" s="56">
        <v>45909</v>
      </c>
      <c r="E137" s="49"/>
      <c r="F137" s="49"/>
      <c r="G137" s="49">
        <v>20000</v>
      </c>
      <c r="H137" s="49"/>
      <c r="I137" s="73" t="s">
        <v>422</v>
      </c>
    </row>
    <row r="138" spans="1:9">
      <c r="A138" s="49"/>
      <c r="B138" s="50" t="s">
        <v>424</v>
      </c>
      <c r="C138" s="51" t="s">
        <v>276</v>
      </c>
      <c r="D138" s="56">
        <v>45909</v>
      </c>
      <c r="E138" s="49"/>
      <c r="F138" s="49" t="s">
        <v>423</v>
      </c>
      <c r="G138" s="49">
        <v>50000</v>
      </c>
      <c r="H138" s="49"/>
      <c r="I138" s="73" t="s">
        <v>424</v>
      </c>
    </row>
    <row r="139" spans="1:9">
      <c r="A139" s="49"/>
      <c r="B139" s="50" t="s">
        <v>749</v>
      </c>
      <c r="C139" s="51" t="s">
        <v>276</v>
      </c>
      <c r="D139" s="56">
        <v>45909</v>
      </c>
      <c r="E139" s="49"/>
      <c r="F139" s="49" t="s">
        <v>423</v>
      </c>
      <c r="G139" s="49">
        <v>50000</v>
      </c>
      <c r="H139" s="49"/>
      <c r="I139" s="73" t="s">
        <v>749</v>
      </c>
    </row>
    <row r="140" spans="1:9">
      <c r="A140" s="49"/>
      <c r="B140" s="50" t="s">
        <v>750</v>
      </c>
      <c r="C140" s="51" t="s">
        <v>276</v>
      </c>
      <c r="D140" s="56">
        <v>45909</v>
      </c>
      <c r="E140" s="49"/>
      <c r="F140" s="49" t="s">
        <v>423</v>
      </c>
      <c r="G140" s="49">
        <v>50000</v>
      </c>
      <c r="H140" s="49"/>
      <c r="I140" s="73" t="s">
        <v>750</v>
      </c>
    </row>
    <row r="141" spans="1:9">
      <c r="A141" s="49"/>
      <c r="B141" s="50"/>
      <c r="C141" s="51"/>
      <c r="D141" s="56"/>
      <c r="E141" s="49"/>
      <c r="F141" s="49"/>
      <c r="G141" s="49"/>
      <c r="H141" s="49"/>
      <c r="I141" s="49"/>
    </row>
    <row r="142" spans="1:9">
      <c r="A142" s="49"/>
      <c r="B142" s="50"/>
      <c r="C142" s="51"/>
      <c r="D142" s="56"/>
      <c r="E142" s="49"/>
      <c r="F142" s="49"/>
      <c r="G142" s="49"/>
      <c r="H142" s="49"/>
      <c r="I142" s="49"/>
    </row>
    <row r="143" spans="1:9">
      <c r="A143" s="49"/>
      <c r="B143" s="50"/>
      <c r="C143" s="51"/>
      <c r="D143" s="56"/>
      <c r="E143" s="49"/>
      <c r="F143" s="49"/>
      <c r="G143" s="49"/>
      <c r="H143" s="49"/>
      <c r="I143" s="49"/>
    </row>
    <row r="144" spans="1:9">
      <c r="A144" s="49"/>
      <c r="B144" s="50"/>
      <c r="C144" s="51"/>
      <c r="D144" s="56"/>
      <c r="E144" s="49"/>
      <c r="F144" s="49"/>
      <c r="G144" s="49"/>
      <c r="H144" s="49"/>
      <c r="I144" s="49"/>
    </row>
    <row r="145" spans="1:9">
      <c r="A145" s="49"/>
      <c r="B145" s="50"/>
      <c r="C145" s="51"/>
      <c r="D145" s="56"/>
      <c r="E145" s="49"/>
      <c r="F145" s="49"/>
      <c r="G145" s="49"/>
      <c r="H145" s="49"/>
      <c r="I145" s="49"/>
    </row>
    <row r="146" spans="1:9">
      <c r="A146" s="49"/>
      <c r="B146" s="50"/>
      <c r="C146" s="51"/>
      <c r="D146" s="56"/>
      <c r="E146" s="49"/>
      <c r="F146" s="49"/>
      <c r="G146" s="49"/>
      <c r="H146" s="49"/>
      <c r="I146" s="49"/>
    </row>
    <row r="147" spans="1:9">
      <c r="A147" s="49"/>
      <c r="B147" s="50"/>
      <c r="C147" s="51"/>
      <c r="D147" s="56"/>
      <c r="E147" s="49"/>
      <c r="F147" s="49"/>
      <c r="G147" s="49"/>
      <c r="H147" s="49"/>
      <c r="I147" s="49"/>
    </row>
    <row r="148" spans="1:9">
      <c r="A148" s="49"/>
      <c r="B148" s="50"/>
      <c r="C148" s="51"/>
      <c r="D148" s="56"/>
      <c r="E148" s="49"/>
      <c r="F148" s="49"/>
      <c r="G148" s="49"/>
      <c r="H148" s="49"/>
      <c r="I148" s="49"/>
    </row>
    <row r="149" spans="1:9">
      <c r="A149" s="49"/>
      <c r="B149" s="50"/>
      <c r="C149" s="51"/>
      <c r="D149" s="56"/>
      <c r="E149" s="49"/>
      <c r="F149" s="49"/>
      <c r="G149" s="49"/>
      <c r="H149" s="49"/>
      <c r="I149" s="49"/>
    </row>
    <row r="150" spans="1:9">
      <c r="A150" s="49"/>
      <c r="B150" s="50"/>
      <c r="C150" s="51"/>
      <c r="D150" s="56"/>
      <c r="E150" s="49"/>
      <c r="F150" s="49"/>
      <c r="G150" s="49"/>
      <c r="H150" s="49"/>
      <c r="I150" s="49"/>
    </row>
    <row r="151" spans="1:9">
      <c r="A151" s="49"/>
      <c r="B151" s="50"/>
      <c r="C151" s="51"/>
      <c r="D151" s="56"/>
      <c r="E151" s="49"/>
      <c r="F151" s="49"/>
      <c r="G151" s="49"/>
      <c r="H151" s="49"/>
      <c r="I151" s="49"/>
    </row>
    <row r="152" spans="1:9">
      <c r="A152" s="49"/>
      <c r="B152" s="50"/>
      <c r="C152" s="51"/>
      <c r="D152" s="56"/>
      <c r="E152" s="49"/>
      <c r="F152" s="49"/>
      <c r="G152" s="49"/>
      <c r="H152" s="49"/>
      <c r="I152" s="49"/>
    </row>
    <row r="153" spans="1:9">
      <c r="A153" s="49"/>
      <c r="B153" s="50"/>
      <c r="C153" s="51"/>
      <c r="D153" s="56"/>
      <c r="E153" s="49"/>
      <c r="F153" s="49"/>
      <c r="G153" s="49"/>
      <c r="H153" s="49"/>
      <c r="I153" s="49"/>
    </row>
    <row r="154" spans="1:9">
      <c r="A154" s="49"/>
      <c r="B154" s="50"/>
      <c r="C154" s="51"/>
      <c r="D154" s="56"/>
      <c r="E154" s="49"/>
      <c r="F154" s="49"/>
      <c r="G154" s="49"/>
      <c r="H154" s="49"/>
      <c r="I154" s="49"/>
    </row>
    <row r="155" spans="1:9">
      <c r="A155" s="49"/>
      <c r="B155" s="50"/>
      <c r="C155" s="51"/>
      <c r="D155" s="56"/>
      <c r="E155" s="49"/>
      <c r="F155" s="49"/>
      <c r="G155" s="49"/>
      <c r="H155" s="49"/>
      <c r="I155" s="49"/>
    </row>
    <row r="156" spans="1:9">
      <c r="A156" s="49"/>
      <c r="B156" s="50"/>
      <c r="C156" s="51"/>
      <c r="D156" s="56"/>
      <c r="E156" s="49"/>
      <c r="F156" s="49"/>
      <c r="G156" s="49"/>
      <c r="H156" s="49"/>
      <c r="I156" s="49"/>
    </row>
    <row r="157" spans="1:9">
      <c r="A157" s="49"/>
      <c r="B157" s="50"/>
      <c r="C157" s="51"/>
      <c r="D157" s="56"/>
      <c r="E157" s="49"/>
      <c r="F157" s="49"/>
      <c r="G157" s="49"/>
      <c r="H157" s="49"/>
      <c r="I157" s="49"/>
    </row>
    <row r="158" spans="1:9">
      <c r="A158" s="49"/>
      <c r="B158" s="50"/>
      <c r="C158" s="51"/>
      <c r="D158" s="56"/>
      <c r="E158" s="49"/>
      <c r="F158" s="49"/>
      <c r="G158" s="49"/>
      <c r="H158" s="49"/>
      <c r="I158" s="49"/>
    </row>
    <row r="159" spans="1:9">
      <c r="A159" s="49"/>
      <c r="B159" s="50"/>
      <c r="C159" s="51"/>
      <c r="D159" s="56"/>
      <c r="E159" s="49"/>
      <c r="F159" s="49"/>
      <c r="G159" s="49"/>
      <c r="H159" s="49"/>
      <c r="I159" s="49"/>
    </row>
  </sheetData>
  <autoFilter ref="A1:H123" xr:uid="{00000000-0001-0000-0800-000000000000}">
    <sortState xmlns:xlrd2="http://schemas.microsoft.com/office/spreadsheetml/2017/richdata2" ref="A8:H27">
      <sortCondition ref="C1:C119"/>
    </sortState>
  </autoFilter>
  <hyperlinks>
    <hyperlink ref="I73" r:id="rId1" xr:uid="{AF8721A1-375C-4977-9E52-AB0D015C1252}"/>
    <hyperlink ref="I74" r:id="rId2" xr:uid="{213839F9-69C4-4D26-BFE5-B9553E52EB96}"/>
    <hyperlink ref="I72" r:id="rId3" xr:uid="{1B37224C-1819-48F3-98E5-36195BC91D0A}"/>
    <hyperlink ref="I76" r:id="rId4" xr:uid="{304CF1A7-D435-4A50-962B-2C3086CCAC91}"/>
    <hyperlink ref="I31" r:id="rId5" xr:uid="{FBC50E60-CBC6-497F-8CC5-32C1EB3EE290}"/>
    <hyperlink ref="I117" r:id="rId6" xr:uid="{6415094A-048A-45B9-A301-B68FFC35788A}"/>
    <hyperlink ref="I118" r:id="rId7" xr:uid="{DEC39B43-3EFC-4EAF-809C-43946C9918B1}"/>
    <hyperlink ref="I119" r:id="rId8" xr:uid="{01C11DA3-86F4-41DD-A2A9-DE437FE9AE17}"/>
    <hyperlink ref="I69" r:id="rId9" xr:uid="{DD286560-6004-4DEE-8AEE-ED84C93BDB4A}"/>
    <hyperlink ref="I68" r:id="rId10" xr:uid="{098F7E15-ADB3-4630-B2E3-D03495D6C3A4}"/>
    <hyperlink ref="I22" r:id="rId11" xr:uid="{7528C573-804E-477E-A9CE-4EFF7B5E8255}"/>
    <hyperlink ref="I27" r:id="rId12" xr:uid="{91535BC8-F2CA-4256-A2C8-BF497DC1AB9D}"/>
    <hyperlink ref="I120" r:id="rId13" xr:uid="{866DCA4E-97C4-46F1-98ED-E882FF776D31}"/>
    <hyperlink ref="I121" r:id="rId14" xr:uid="{BDF2080C-7DE3-4BB3-89C7-3CC65FB0BB68}"/>
    <hyperlink ref="I122" r:id="rId15" xr:uid="{E4D2FA34-9585-441F-80D1-D880927F9523}"/>
    <hyperlink ref="I123" r:id="rId16" xr:uid="{79622BB6-7AA8-4E3A-B3F1-90E3AE97DC97}"/>
    <hyperlink ref="I124" r:id="rId17" xr:uid="{1C8963F6-65AD-4365-953B-EB79BA21C2F4}"/>
    <hyperlink ref="I125" r:id="rId18" xr:uid="{B412E237-E12C-4959-8A26-C9C8DC6398AC}"/>
    <hyperlink ref="I126" r:id="rId19" xr:uid="{B5A8F071-2656-45FD-8F63-8C8782411A63}"/>
    <hyperlink ref="I127" r:id="rId20" xr:uid="{4196AE79-665B-42A8-AC73-3756DE475B59}"/>
    <hyperlink ref="I128" r:id="rId21" xr:uid="{C8DDE1CC-8B54-4F65-89A1-96F3D2148FEA}"/>
    <hyperlink ref="I129" r:id="rId22" xr:uid="{32F7CBD5-EFFB-41E9-89E6-560A52D7C85F}"/>
    <hyperlink ref="I130" r:id="rId23" xr:uid="{3EFBBBE2-BC81-464C-A088-27DAB0A83507}"/>
    <hyperlink ref="I131" r:id="rId24" xr:uid="{8196F5B1-1F47-42F7-A6B6-FB1CFE944FE0}"/>
    <hyperlink ref="I132" r:id="rId25" xr:uid="{ECEF363E-80BB-44EE-86D0-A1AA3BE54857}"/>
    <hyperlink ref="I133" r:id="rId26" xr:uid="{2C7D1237-B334-43B2-B2D8-BE293221C107}"/>
    <hyperlink ref="I134" r:id="rId27" xr:uid="{2178116C-6799-49C0-BE53-1929693AEA3B}"/>
    <hyperlink ref="I135" r:id="rId28" xr:uid="{9BE5FED3-B08A-44ED-999D-7E8532B2ECDA}"/>
    <hyperlink ref="I136" r:id="rId29" xr:uid="{070CF39A-4316-46BF-BFC1-7916430A1A4E}"/>
    <hyperlink ref="I137" r:id="rId30" xr:uid="{6D0220A4-B7CD-4409-867E-2A876E49986B}"/>
    <hyperlink ref="I138" r:id="rId31" xr:uid="{2BBBBB0F-467D-41E9-9ED4-CB938745FFF8}"/>
    <hyperlink ref="I139" r:id="rId32" xr:uid="{93C1EE65-7F2E-46EA-8D97-69B14633AD0C}"/>
    <hyperlink ref="I140" r:id="rId33" xr:uid="{07E8042F-1CBB-4E47-B3A4-55F0C63C20DA}"/>
  </hyperlinks>
  <pageMargins left="0.75" right="0.75" top="1" bottom="1" header="0.5" footer="0.5"/>
  <pageSetup paperSize="9" scale="42" orientation="portrait" r:id="rId3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B0B2-5A87-4D57-9846-3CF6030D0866}">
  <dimension ref="A1:AM101"/>
  <sheetViews>
    <sheetView topLeftCell="A55" zoomScale="80" zoomScaleNormal="80" workbookViewId="0">
      <selection activeCell="C34" sqref="C34"/>
    </sheetView>
  </sheetViews>
  <sheetFormatPr defaultRowHeight="14.5"/>
  <cols>
    <col min="1" max="1" width="41.36328125" customWidth="1"/>
    <col min="2" max="2" width="15.7265625" customWidth="1"/>
    <col min="3" max="3" width="19.6328125" customWidth="1"/>
    <col min="4" max="4" width="16.36328125" customWidth="1"/>
    <col min="5" max="5" width="18.36328125" customWidth="1"/>
    <col min="6" max="6" width="7.7265625" customWidth="1"/>
    <col min="7" max="8" width="6.36328125" customWidth="1"/>
    <col min="9" max="9" width="6.7265625" customWidth="1"/>
    <col min="10" max="10" width="7.26953125" customWidth="1"/>
    <col min="11" max="11" width="6.7265625" customWidth="1"/>
    <col min="12" max="12" width="6.90625" customWidth="1"/>
    <col min="13" max="13" width="6.08984375" customWidth="1"/>
    <col min="14" max="14" width="6.90625" customWidth="1"/>
    <col min="15" max="15" width="7" customWidth="1"/>
    <col min="16" max="16" width="6.6328125" customWidth="1"/>
    <col min="17" max="18" width="7.90625" customWidth="1"/>
    <col min="19" max="19" width="7.08984375" customWidth="1"/>
    <col min="20" max="20" width="6.08984375" customWidth="1"/>
    <col min="21" max="21" width="6.6328125" customWidth="1"/>
    <col min="22" max="22" width="6.7265625" customWidth="1"/>
    <col min="23" max="23" width="6.26953125" customWidth="1"/>
    <col min="24" max="24" width="7.08984375" customWidth="1"/>
    <col min="25" max="25" width="7.7265625" customWidth="1"/>
    <col min="26" max="26" width="7.26953125" customWidth="1"/>
    <col min="27" max="27" width="5.90625" customWidth="1"/>
    <col min="28" max="28" width="6.08984375" customWidth="1"/>
    <col min="29" max="29" width="5" customWidth="1"/>
    <col min="30" max="30" width="7.08984375" customWidth="1"/>
    <col min="32" max="32" width="6.7265625" customWidth="1"/>
    <col min="33" max="33" width="6.90625" customWidth="1"/>
    <col min="34" max="34" width="5.26953125" customWidth="1"/>
    <col min="35" max="35" width="5.7265625" customWidth="1"/>
    <col min="36" max="36" width="6.6328125" customWidth="1"/>
    <col min="37" max="37" width="23.6328125" customWidth="1"/>
  </cols>
  <sheetData>
    <row r="1" spans="1:39">
      <c r="A1" s="194" t="s">
        <v>751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</row>
    <row r="2" spans="1:39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</row>
    <row r="3" spans="1:39">
      <c r="A3" s="19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</row>
    <row r="4" spans="1:39">
      <c r="A4" s="196" t="s">
        <v>752</v>
      </c>
      <c r="B4" s="1"/>
      <c r="C4" s="1"/>
      <c r="D4" s="196" t="s">
        <v>753</v>
      </c>
      <c r="E4" s="197" t="s">
        <v>388</v>
      </c>
      <c r="F4" s="199" t="s">
        <v>754</v>
      </c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1"/>
    </row>
    <row r="5" spans="1:39">
      <c r="A5" s="196"/>
      <c r="B5" s="1"/>
      <c r="C5" s="1" t="s">
        <v>755</v>
      </c>
      <c r="D5" s="196"/>
      <c r="E5" s="198"/>
      <c r="F5" s="25">
        <v>1</v>
      </c>
      <c r="G5" s="25">
        <v>2</v>
      </c>
      <c r="H5" s="1">
        <v>3</v>
      </c>
      <c r="I5" s="25">
        <v>4</v>
      </c>
      <c r="J5" s="25">
        <v>5</v>
      </c>
      <c r="K5" s="2">
        <v>6</v>
      </c>
      <c r="L5" s="1">
        <v>7</v>
      </c>
      <c r="M5" s="25">
        <v>8</v>
      </c>
      <c r="N5" s="1">
        <v>9</v>
      </c>
      <c r="O5" s="1">
        <v>10</v>
      </c>
      <c r="P5" s="1">
        <v>11</v>
      </c>
      <c r="Q5" s="1">
        <v>12</v>
      </c>
      <c r="R5" s="2">
        <v>13</v>
      </c>
      <c r="S5" s="25">
        <v>14</v>
      </c>
      <c r="T5" s="25">
        <v>15</v>
      </c>
      <c r="U5" s="1">
        <v>16</v>
      </c>
      <c r="V5" s="1">
        <v>17</v>
      </c>
      <c r="W5" s="25">
        <v>18</v>
      </c>
      <c r="X5" s="25">
        <v>19</v>
      </c>
      <c r="Y5" s="2">
        <v>20</v>
      </c>
      <c r="Z5" s="25">
        <v>21</v>
      </c>
      <c r="AA5" s="44">
        <v>22</v>
      </c>
      <c r="AB5" s="1">
        <v>23</v>
      </c>
      <c r="AC5" s="1">
        <v>24</v>
      </c>
      <c r="AD5" s="25">
        <v>25</v>
      </c>
      <c r="AE5" s="1">
        <v>26</v>
      </c>
      <c r="AF5" s="2">
        <v>27</v>
      </c>
      <c r="AG5" s="1">
        <v>28</v>
      </c>
      <c r="AH5" s="44">
        <v>29</v>
      </c>
      <c r="AI5" s="1">
        <v>30</v>
      </c>
      <c r="AJ5" s="25">
        <v>31</v>
      </c>
      <c r="AK5" s="44" t="s">
        <v>756</v>
      </c>
      <c r="AL5" s="1" t="s">
        <v>757</v>
      </c>
    </row>
    <row r="6" spans="1:39">
      <c r="A6" s="4" t="s">
        <v>758</v>
      </c>
      <c r="B6" s="5"/>
      <c r="C6" s="6" t="s">
        <v>759</v>
      </c>
      <c r="D6" s="5"/>
      <c r="E6" s="3" t="s">
        <v>659</v>
      </c>
      <c r="F6" s="45" t="s">
        <v>760</v>
      </c>
      <c r="G6" s="3" t="s">
        <v>760</v>
      </c>
      <c r="H6" s="3" t="s">
        <v>760</v>
      </c>
      <c r="I6" s="3" t="s">
        <v>760</v>
      </c>
      <c r="J6" s="14" t="s">
        <v>760</v>
      </c>
      <c r="K6" s="14"/>
      <c r="L6" s="3" t="s">
        <v>760</v>
      </c>
      <c r="M6" s="14"/>
      <c r="N6" s="3"/>
      <c r="O6" s="14"/>
      <c r="P6" s="14"/>
      <c r="Q6" s="14"/>
      <c r="R6" s="3"/>
      <c r="S6" s="3"/>
      <c r="T6" s="14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9">
      <c r="A7" s="4" t="s">
        <v>761</v>
      </c>
      <c r="B7" s="5"/>
      <c r="C7" s="6" t="s">
        <v>759</v>
      </c>
      <c r="D7" s="5"/>
      <c r="E7" s="3" t="s">
        <v>659</v>
      </c>
      <c r="F7" s="45" t="s">
        <v>760</v>
      </c>
      <c r="G7" s="3" t="s">
        <v>760</v>
      </c>
      <c r="H7" s="3" t="s">
        <v>760</v>
      </c>
      <c r="I7" s="3" t="s">
        <v>760</v>
      </c>
      <c r="J7" s="14" t="s">
        <v>760</v>
      </c>
      <c r="K7" s="14"/>
      <c r="L7" s="3" t="s">
        <v>760</v>
      </c>
      <c r="M7" s="14"/>
      <c r="N7" s="3"/>
      <c r="O7" s="14"/>
      <c r="P7" s="14"/>
      <c r="Q7" s="14"/>
      <c r="R7" s="3"/>
      <c r="S7" s="3"/>
      <c r="T7" s="29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9">
      <c r="A8" s="4" t="s">
        <v>762</v>
      </c>
      <c r="B8" s="5"/>
      <c r="C8" s="6" t="s">
        <v>759</v>
      </c>
      <c r="D8" s="5"/>
      <c r="E8" s="3" t="s">
        <v>659</v>
      </c>
      <c r="F8" s="45" t="s">
        <v>760</v>
      </c>
      <c r="G8" s="3" t="s">
        <v>760</v>
      </c>
      <c r="H8" s="3" t="s">
        <v>760</v>
      </c>
      <c r="I8" s="3" t="s">
        <v>760</v>
      </c>
      <c r="J8" s="14" t="s">
        <v>760</v>
      </c>
      <c r="K8" s="14"/>
      <c r="L8" s="3" t="s">
        <v>760</v>
      </c>
      <c r="M8" s="14"/>
      <c r="N8" s="3"/>
      <c r="O8" s="14"/>
      <c r="P8" s="14"/>
      <c r="Q8" s="14"/>
      <c r="R8" s="3"/>
      <c r="S8" s="3"/>
      <c r="T8" s="29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9">
      <c r="A9" s="4" t="s">
        <v>763</v>
      </c>
      <c r="B9" s="5"/>
      <c r="C9" s="6" t="s">
        <v>759</v>
      </c>
      <c r="D9" s="5"/>
      <c r="E9" s="3" t="s">
        <v>659</v>
      </c>
      <c r="F9" s="45" t="s">
        <v>760</v>
      </c>
      <c r="G9" s="3" t="s">
        <v>760</v>
      </c>
      <c r="H9" s="3" t="s">
        <v>760</v>
      </c>
      <c r="I9" s="3" t="s">
        <v>760</v>
      </c>
      <c r="J9" s="14" t="s">
        <v>760</v>
      </c>
      <c r="K9" s="14"/>
      <c r="L9" s="3" t="s">
        <v>760</v>
      </c>
      <c r="M9" s="14"/>
      <c r="N9" s="3"/>
      <c r="O9" s="14"/>
      <c r="P9" s="14"/>
      <c r="Q9" s="14"/>
      <c r="R9" s="3"/>
      <c r="S9" s="3"/>
      <c r="T9" s="29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9">
      <c r="A10" s="4" t="s">
        <v>764</v>
      </c>
      <c r="B10" s="5"/>
      <c r="C10" s="6" t="s">
        <v>759</v>
      </c>
      <c r="D10" s="5"/>
      <c r="E10" s="3" t="s">
        <v>659</v>
      </c>
      <c r="F10" s="45" t="s">
        <v>760</v>
      </c>
      <c r="G10" s="3" t="s">
        <v>760</v>
      </c>
      <c r="H10" s="3" t="s">
        <v>760</v>
      </c>
      <c r="I10" s="3" t="s">
        <v>760</v>
      </c>
      <c r="J10" s="14" t="s">
        <v>760</v>
      </c>
      <c r="K10" s="14"/>
      <c r="L10" s="3" t="s">
        <v>760</v>
      </c>
      <c r="M10" s="14"/>
      <c r="N10" s="3"/>
      <c r="O10" s="14"/>
      <c r="P10" s="14"/>
      <c r="Q10" s="14"/>
      <c r="R10" s="3"/>
      <c r="S10" s="3"/>
      <c r="T10" s="29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9">
      <c r="A11" s="4" t="s">
        <v>765</v>
      </c>
      <c r="B11" s="5"/>
      <c r="C11" s="6" t="s">
        <v>759</v>
      </c>
      <c r="D11" s="5"/>
      <c r="E11" s="3" t="s">
        <v>766</v>
      </c>
      <c r="F11" s="45" t="s">
        <v>760</v>
      </c>
      <c r="G11" s="3" t="s">
        <v>760</v>
      </c>
      <c r="H11" s="3" t="s">
        <v>760</v>
      </c>
      <c r="I11" s="3" t="s">
        <v>760</v>
      </c>
      <c r="J11" s="14" t="s">
        <v>760</v>
      </c>
      <c r="K11" s="14"/>
      <c r="L11" s="26" t="s">
        <v>760</v>
      </c>
      <c r="M11" s="14"/>
      <c r="N11" s="3"/>
      <c r="O11" s="14"/>
      <c r="P11" s="14"/>
      <c r="Q11" s="14"/>
      <c r="R11" s="3"/>
      <c r="S11" s="3"/>
      <c r="T11" s="29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9">
      <c r="A12" s="4" t="s">
        <v>767</v>
      </c>
      <c r="B12" s="5"/>
      <c r="C12" s="6" t="s">
        <v>759</v>
      </c>
      <c r="D12" s="5"/>
      <c r="E12" s="3" t="s">
        <v>768</v>
      </c>
      <c r="F12" s="45" t="s">
        <v>760</v>
      </c>
      <c r="G12" s="3" t="s">
        <v>760</v>
      </c>
      <c r="H12" s="3" t="s">
        <v>760</v>
      </c>
      <c r="I12" s="3" t="s">
        <v>760</v>
      </c>
      <c r="J12" s="14" t="s">
        <v>760</v>
      </c>
      <c r="K12" s="14"/>
      <c r="L12" s="26" t="s">
        <v>760</v>
      </c>
      <c r="M12" s="14"/>
      <c r="N12" s="3"/>
      <c r="O12" s="14"/>
      <c r="P12" s="14"/>
      <c r="Q12" s="14"/>
      <c r="R12" s="3"/>
      <c r="S12" s="3"/>
      <c r="T12" s="29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9">
      <c r="A13" s="4" t="s">
        <v>769</v>
      </c>
      <c r="B13" s="5"/>
      <c r="C13" s="6" t="s">
        <v>759</v>
      </c>
      <c r="D13" s="5"/>
      <c r="E13" s="3" t="s">
        <v>770</v>
      </c>
      <c r="F13" s="45" t="s">
        <v>760</v>
      </c>
      <c r="G13" s="3" t="s">
        <v>760</v>
      </c>
      <c r="H13" s="3" t="s">
        <v>760</v>
      </c>
      <c r="I13" s="3" t="s">
        <v>760</v>
      </c>
      <c r="J13" s="14" t="s">
        <v>760</v>
      </c>
      <c r="K13" s="14"/>
      <c r="L13" s="26" t="s">
        <v>760</v>
      </c>
      <c r="M13" s="14"/>
      <c r="N13" s="3"/>
      <c r="O13" s="14"/>
      <c r="P13" s="14"/>
      <c r="Q13" s="14"/>
      <c r="R13" s="3"/>
      <c r="S13" s="3"/>
      <c r="T13" s="29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9">
      <c r="A14" s="4" t="s">
        <v>686</v>
      </c>
      <c r="B14" s="5"/>
      <c r="C14" s="6" t="s">
        <v>759</v>
      </c>
      <c r="D14" s="5"/>
      <c r="E14" s="3" t="s">
        <v>687</v>
      </c>
      <c r="F14" s="45" t="s">
        <v>760</v>
      </c>
      <c r="G14" s="3" t="s">
        <v>760</v>
      </c>
      <c r="H14" s="3" t="s">
        <v>760</v>
      </c>
      <c r="I14" s="3" t="s">
        <v>760</v>
      </c>
      <c r="J14" s="14" t="s">
        <v>760</v>
      </c>
      <c r="K14" s="14"/>
      <c r="L14" s="26" t="s">
        <v>760</v>
      </c>
      <c r="M14" s="14"/>
      <c r="N14" s="3"/>
      <c r="O14" s="14"/>
      <c r="P14" s="14"/>
      <c r="Q14" s="14"/>
      <c r="R14" s="3"/>
      <c r="S14" s="3"/>
      <c r="T14" s="29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9">
      <c r="A15" s="4" t="s">
        <v>688</v>
      </c>
      <c r="B15" s="7"/>
      <c r="C15" s="6" t="s">
        <v>759</v>
      </c>
      <c r="D15" s="7"/>
      <c r="E15" s="3" t="s">
        <v>687</v>
      </c>
      <c r="F15" s="45" t="s">
        <v>760</v>
      </c>
      <c r="G15" s="3" t="s">
        <v>760</v>
      </c>
      <c r="H15" s="3" t="s">
        <v>760</v>
      </c>
      <c r="I15" s="3" t="s">
        <v>760</v>
      </c>
      <c r="J15" s="14" t="s">
        <v>760</v>
      </c>
      <c r="K15" s="14"/>
      <c r="L15" s="26" t="s">
        <v>760</v>
      </c>
      <c r="M15" s="14"/>
      <c r="N15" s="3"/>
      <c r="O15" s="14"/>
      <c r="P15" s="14"/>
      <c r="Q15" s="14"/>
      <c r="R15" s="3"/>
      <c r="S15" s="3"/>
      <c r="T15" s="29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9">
      <c r="A16" s="4" t="s">
        <v>655</v>
      </c>
      <c r="B16" s="8"/>
      <c r="C16" s="9" t="s">
        <v>771</v>
      </c>
      <c r="D16" s="8"/>
      <c r="E16" s="3" t="s">
        <v>137</v>
      </c>
      <c r="F16" s="45" t="s">
        <v>760</v>
      </c>
      <c r="G16" s="3" t="s">
        <v>760</v>
      </c>
      <c r="H16" s="3" t="s">
        <v>760</v>
      </c>
      <c r="I16" s="3" t="s">
        <v>760</v>
      </c>
      <c r="J16" s="27" t="s">
        <v>760</v>
      </c>
      <c r="K16" s="27"/>
      <c r="L16" s="3" t="s">
        <v>760</v>
      </c>
      <c r="M16" s="3"/>
      <c r="N16" s="3"/>
      <c r="O16" s="3"/>
      <c r="P16" s="3"/>
      <c r="Q16" s="3"/>
      <c r="R16" s="3"/>
      <c r="S16" s="3"/>
      <c r="T16" s="29"/>
      <c r="U16" s="3"/>
      <c r="V16" s="30"/>
      <c r="W16" s="30"/>
      <c r="X16" s="30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>
      <c r="A17" s="10" t="s">
        <v>689</v>
      </c>
      <c r="B17" s="11"/>
      <c r="C17" s="12" t="s">
        <v>772</v>
      </c>
      <c r="D17" s="3">
        <v>7302</v>
      </c>
      <c r="E17" s="3" t="s">
        <v>690</v>
      </c>
      <c r="F17" s="45" t="s">
        <v>760</v>
      </c>
      <c r="G17" s="3" t="s">
        <v>760</v>
      </c>
      <c r="H17" s="3" t="s">
        <v>760</v>
      </c>
      <c r="I17" s="3" t="s">
        <v>760</v>
      </c>
      <c r="J17" s="3" t="s">
        <v>760</v>
      </c>
      <c r="K17" s="3"/>
      <c r="L17" s="3" t="s">
        <v>760</v>
      </c>
      <c r="M17" s="3"/>
      <c r="N17" s="3"/>
      <c r="O17" s="3"/>
      <c r="P17" s="3"/>
      <c r="Q17" s="3"/>
      <c r="R17" s="3"/>
      <c r="S17" s="3"/>
      <c r="T17" s="29"/>
      <c r="U17" s="14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>
      <c r="A18" s="10" t="s">
        <v>671</v>
      </c>
      <c r="B18" s="5"/>
      <c r="C18" s="6" t="s">
        <v>773</v>
      </c>
      <c r="D18" s="33"/>
      <c r="E18" s="3" t="s">
        <v>27</v>
      </c>
      <c r="F18" s="33" t="s">
        <v>760</v>
      </c>
      <c r="G18" s="3" t="s">
        <v>760</v>
      </c>
      <c r="H18" s="3" t="s">
        <v>760</v>
      </c>
      <c r="I18" s="3" t="s">
        <v>760</v>
      </c>
      <c r="J18" s="3" t="s">
        <v>760</v>
      </c>
      <c r="K18" s="3"/>
      <c r="L18" s="3" t="s">
        <v>760</v>
      </c>
      <c r="M18" s="3"/>
      <c r="N18" s="3"/>
      <c r="O18" s="3"/>
      <c r="P18" s="3"/>
      <c r="Q18" s="3"/>
      <c r="R18" s="3"/>
      <c r="S18" s="3"/>
      <c r="T18" s="29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3"/>
      <c r="AL18" s="33"/>
    </row>
    <row r="19" spans="1:38">
      <c r="A19" s="10" t="s">
        <v>774</v>
      </c>
      <c r="B19" s="13"/>
      <c r="C19" s="6" t="s">
        <v>759</v>
      </c>
      <c r="D19" s="14">
        <v>2474</v>
      </c>
      <c r="E19" s="14" t="s">
        <v>21</v>
      </c>
      <c r="F19" s="46" t="s">
        <v>760</v>
      </c>
      <c r="G19" s="3" t="s">
        <v>760</v>
      </c>
      <c r="H19" s="3" t="s">
        <v>760</v>
      </c>
      <c r="I19" s="3" t="s">
        <v>760</v>
      </c>
      <c r="J19" s="3" t="s">
        <v>760</v>
      </c>
      <c r="K19" s="3"/>
      <c r="L19" s="3" t="s">
        <v>760</v>
      </c>
      <c r="M19" s="3"/>
      <c r="N19" s="3"/>
      <c r="O19" s="3"/>
      <c r="P19" s="3"/>
      <c r="Q19" s="3"/>
      <c r="R19" s="3"/>
      <c r="S19" s="3"/>
      <c r="T19" s="29"/>
      <c r="U19" s="17"/>
      <c r="V19" s="3"/>
      <c r="W19" s="3"/>
      <c r="X19" s="3"/>
      <c r="Y19" s="3"/>
      <c r="Z19" s="3"/>
      <c r="AA19" s="14"/>
      <c r="AB19" s="14"/>
      <c r="AC19" s="3"/>
      <c r="AD19" s="3"/>
      <c r="AE19" s="3"/>
      <c r="AF19" s="3"/>
      <c r="AG19" s="3"/>
      <c r="AH19" s="3"/>
      <c r="AI19" s="3"/>
      <c r="AJ19" s="3"/>
      <c r="AK19" s="14"/>
      <c r="AL19" s="14"/>
    </row>
    <row r="20" spans="1:38">
      <c r="A20" s="10" t="s">
        <v>775</v>
      </c>
      <c r="B20" s="5"/>
      <c r="C20" s="6" t="s">
        <v>759</v>
      </c>
      <c r="D20" s="46">
        <v>4804</v>
      </c>
      <c r="E20" s="3" t="s">
        <v>21</v>
      </c>
      <c r="F20" s="46" t="s">
        <v>760</v>
      </c>
      <c r="G20" s="3" t="s">
        <v>760</v>
      </c>
      <c r="H20" s="3" t="s">
        <v>760</v>
      </c>
      <c r="I20" s="3" t="s">
        <v>760</v>
      </c>
      <c r="J20" s="3" t="s">
        <v>760</v>
      </c>
      <c r="K20" s="3"/>
      <c r="L20" s="3" t="s">
        <v>760</v>
      </c>
      <c r="M20" s="3"/>
      <c r="N20" s="3"/>
      <c r="O20" s="3"/>
      <c r="P20" s="3"/>
      <c r="Q20" s="3"/>
      <c r="R20" s="3"/>
      <c r="S20" s="26"/>
      <c r="T20" s="29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46"/>
      <c r="AL20" s="46"/>
    </row>
    <row r="21" spans="1:38">
      <c r="A21" s="10" t="s">
        <v>776</v>
      </c>
      <c r="B21" s="5"/>
      <c r="C21" s="15" t="s">
        <v>777</v>
      </c>
      <c r="D21" s="35"/>
      <c r="E21" s="3" t="s">
        <v>21</v>
      </c>
      <c r="F21" s="46" t="s">
        <v>778</v>
      </c>
      <c r="G21" s="3" t="s">
        <v>778</v>
      </c>
      <c r="H21" s="3" t="s">
        <v>778</v>
      </c>
      <c r="I21" s="3" t="s">
        <v>778</v>
      </c>
      <c r="J21" s="3" t="s">
        <v>778</v>
      </c>
      <c r="K21" s="3"/>
      <c r="L21" s="3" t="s">
        <v>778</v>
      </c>
      <c r="M21" s="3"/>
      <c r="N21" s="3"/>
      <c r="O21" s="3"/>
      <c r="P21" s="3"/>
      <c r="Q21" s="3"/>
      <c r="R21" s="3"/>
      <c r="S21" s="26"/>
      <c r="T21" s="29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5"/>
      <c r="AL21" s="35"/>
    </row>
    <row r="22" spans="1:38">
      <c r="A22" s="10" t="s">
        <v>779</v>
      </c>
      <c r="B22" s="5"/>
      <c r="C22" s="6" t="s">
        <v>759</v>
      </c>
      <c r="D22" s="14">
        <v>2058</v>
      </c>
      <c r="E22" s="3" t="s">
        <v>21</v>
      </c>
      <c r="F22" s="46" t="s">
        <v>760</v>
      </c>
      <c r="G22" s="3" t="s">
        <v>760</v>
      </c>
      <c r="H22" s="3" t="s">
        <v>760</v>
      </c>
      <c r="I22" s="3" t="s">
        <v>760</v>
      </c>
      <c r="J22" s="3" t="s">
        <v>760</v>
      </c>
      <c r="K22" s="3"/>
      <c r="L22" s="3" t="s">
        <v>760</v>
      </c>
      <c r="M22" s="3"/>
      <c r="N22" s="3"/>
      <c r="O22" s="3"/>
      <c r="P22" s="3"/>
      <c r="Q22" s="3"/>
      <c r="R22" s="3"/>
      <c r="S22" s="26"/>
      <c r="T22" s="29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14"/>
      <c r="AL22" s="14"/>
    </row>
    <row r="23" spans="1:38">
      <c r="A23" s="10" t="s">
        <v>780</v>
      </c>
      <c r="B23" s="5"/>
      <c r="C23" s="16" t="s">
        <v>781</v>
      </c>
      <c r="D23" s="46">
        <v>1648</v>
      </c>
      <c r="E23" s="3" t="s">
        <v>782</v>
      </c>
      <c r="F23" s="46" t="s">
        <v>760</v>
      </c>
      <c r="G23" s="3" t="s">
        <v>760</v>
      </c>
      <c r="H23" s="3" t="s">
        <v>760</v>
      </c>
      <c r="I23" s="3" t="s">
        <v>760</v>
      </c>
      <c r="J23" s="3" t="s">
        <v>760</v>
      </c>
      <c r="K23" s="3"/>
      <c r="L23" s="3" t="s">
        <v>760</v>
      </c>
      <c r="M23" s="3"/>
      <c r="N23" s="3"/>
      <c r="O23" s="3"/>
      <c r="P23" s="3"/>
      <c r="Q23" s="3"/>
      <c r="R23" s="3"/>
      <c r="S23" s="26"/>
      <c r="T23" s="29"/>
      <c r="U23" s="3"/>
      <c r="V23" s="3"/>
      <c r="W23" s="3"/>
      <c r="X23" s="3"/>
      <c r="Y23" s="3"/>
      <c r="Z23" s="3"/>
      <c r="AA23" s="3"/>
      <c r="AB23" s="3"/>
      <c r="AC23" s="45"/>
      <c r="AD23" s="3"/>
      <c r="AE23" s="3"/>
      <c r="AF23" s="3"/>
      <c r="AG23" s="3"/>
      <c r="AH23" s="3"/>
      <c r="AI23" s="3"/>
      <c r="AJ23" s="3"/>
      <c r="AK23" s="46"/>
      <c r="AL23" s="46"/>
    </row>
    <row r="24" spans="1:38">
      <c r="A24" s="10" t="s">
        <v>783</v>
      </c>
      <c r="B24" s="5"/>
      <c r="C24" s="16" t="s">
        <v>781</v>
      </c>
      <c r="D24" s="46">
        <v>7037</v>
      </c>
      <c r="E24" s="3" t="s">
        <v>21</v>
      </c>
      <c r="F24" s="46" t="s">
        <v>760</v>
      </c>
      <c r="G24" s="3" t="s">
        <v>760</v>
      </c>
      <c r="H24" s="3" t="s">
        <v>760</v>
      </c>
      <c r="I24" s="3" t="s">
        <v>760</v>
      </c>
      <c r="J24" s="3" t="s">
        <v>760</v>
      </c>
      <c r="K24" s="3"/>
      <c r="L24" s="3" t="s">
        <v>760</v>
      </c>
      <c r="M24" s="3"/>
      <c r="N24" s="3"/>
      <c r="O24" s="3"/>
      <c r="P24" s="3"/>
      <c r="Q24" s="3"/>
      <c r="R24" s="3"/>
      <c r="S24" s="26"/>
      <c r="T24" s="29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46"/>
      <c r="AL24" s="46"/>
    </row>
    <row r="25" spans="1:38">
      <c r="A25" s="10" t="s">
        <v>784</v>
      </c>
      <c r="B25" s="5"/>
      <c r="C25" s="16"/>
      <c r="D25" s="46">
        <v>1818</v>
      </c>
      <c r="E25" s="3" t="s">
        <v>785</v>
      </c>
      <c r="F25" s="46" t="s">
        <v>760</v>
      </c>
      <c r="G25" s="3" t="s">
        <v>760</v>
      </c>
      <c r="H25" s="3" t="s">
        <v>760</v>
      </c>
      <c r="I25" s="3" t="s">
        <v>760</v>
      </c>
      <c r="J25" s="3" t="s">
        <v>760</v>
      </c>
      <c r="K25" s="3"/>
      <c r="L25" s="3" t="s">
        <v>760</v>
      </c>
      <c r="M25" s="3"/>
      <c r="N25" s="3"/>
      <c r="O25" s="3"/>
      <c r="P25" s="3"/>
      <c r="Q25" s="3"/>
      <c r="R25" s="3"/>
      <c r="S25" s="3"/>
      <c r="T25" s="29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46"/>
      <c r="AL25" s="46"/>
    </row>
    <row r="26" spans="1:38">
      <c r="A26" s="10" t="s">
        <v>786</v>
      </c>
      <c r="B26" s="5"/>
      <c r="C26" s="16"/>
      <c r="D26" s="46">
        <v>4567</v>
      </c>
      <c r="E26" s="3" t="s">
        <v>785</v>
      </c>
      <c r="F26" s="46" t="s">
        <v>760</v>
      </c>
      <c r="G26" s="3" t="s">
        <v>787</v>
      </c>
      <c r="H26" s="3" t="s">
        <v>787</v>
      </c>
      <c r="I26" s="3" t="s">
        <v>787</v>
      </c>
      <c r="J26" s="3" t="s">
        <v>787</v>
      </c>
      <c r="K26" s="3"/>
      <c r="L26" s="3" t="s">
        <v>787</v>
      </c>
      <c r="M26" s="3"/>
      <c r="N26" s="3"/>
      <c r="O26" s="3"/>
      <c r="P26" s="3"/>
      <c r="Q26" s="3"/>
      <c r="R26" s="3"/>
      <c r="S26" s="3"/>
      <c r="T26" s="29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46"/>
      <c r="AL26" s="46"/>
    </row>
    <row r="27" spans="1:38">
      <c r="A27" s="10" t="s">
        <v>788</v>
      </c>
      <c r="B27" s="5"/>
      <c r="C27" s="16"/>
      <c r="D27" s="46">
        <v>5675</v>
      </c>
      <c r="E27" s="3" t="s">
        <v>785</v>
      </c>
      <c r="F27" s="46" t="s">
        <v>760</v>
      </c>
      <c r="G27" s="3" t="s">
        <v>787</v>
      </c>
      <c r="H27" s="3" t="s">
        <v>787</v>
      </c>
      <c r="I27" s="3" t="s">
        <v>787</v>
      </c>
      <c r="J27" s="3" t="s">
        <v>787</v>
      </c>
      <c r="K27" s="3"/>
      <c r="L27" s="3" t="s">
        <v>787</v>
      </c>
      <c r="M27" s="3"/>
      <c r="N27" s="3"/>
      <c r="O27" s="3"/>
      <c r="P27" s="3"/>
      <c r="Q27" s="3"/>
      <c r="R27" s="3"/>
      <c r="S27" s="3"/>
      <c r="T27" s="29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46"/>
      <c r="AL27" s="46"/>
    </row>
    <row r="28" spans="1:38">
      <c r="A28" s="10" t="s">
        <v>789</v>
      </c>
      <c r="B28" s="5"/>
      <c r="C28" s="16"/>
      <c r="D28" s="46">
        <v>7859</v>
      </c>
      <c r="E28" s="3" t="s">
        <v>785</v>
      </c>
      <c r="F28" s="46" t="s">
        <v>760</v>
      </c>
      <c r="G28" s="3" t="s">
        <v>787</v>
      </c>
      <c r="H28" s="3" t="s">
        <v>787</v>
      </c>
      <c r="I28" s="3" t="s">
        <v>787</v>
      </c>
      <c r="J28" s="3" t="s">
        <v>787</v>
      </c>
      <c r="K28" s="3"/>
      <c r="L28" s="3" t="s">
        <v>787</v>
      </c>
      <c r="M28" s="3"/>
      <c r="N28" s="3"/>
      <c r="O28" s="3"/>
      <c r="P28" s="3"/>
      <c r="Q28" s="3"/>
      <c r="R28" s="3"/>
      <c r="S28" s="3"/>
      <c r="T28" s="29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46"/>
      <c r="AL28" s="46"/>
    </row>
    <row r="29" spans="1:38">
      <c r="A29" s="10" t="s">
        <v>790</v>
      </c>
      <c r="B29" s="5"/>
      <c r="C29" s="16"/>
      <c r="D29" s="46">
        <v>5667</v>
      </c>
      <c r="E29" s="3" t="s">
        <v>785</v>
      </c>
      <c r="F29" s="46" t="s">
        <v>760</v>
      </c>
      <c r="G29" s="3" t="s">
        <v>791</v>
      </c>
      <c r="H29" s="3" t="s">
        <v>791</v>
      </c>
      <c r="I29" s="3" t="s">
        <v>791</v>
      </c>
      <c r="J29" s="3" t="s">
        <v>791</v>
      </c>
      <c r="K29" s="3"/>
      <c r="L29" s="3" t="s">
        <v>760</v>
      </c>
      <c r="M29" s="3"/>
      <c r="N29" s="3"/>
      <c r="O29" s="3"/>
      <c r="P29" s="3"/>
      <c r="Q29" s="3"/>
      <c r="R29" s="3"/>
      <c r="S29" s="3"/>
      <c r="T29" s="29"/>
      <c r="U29" s="3"/>
      <c r="V29" s="3"/>
      <c r="W29" s="3"/>
      <c r="X29" s="3"/>
      <c r="Y29" s="14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46"/>
      <c r="AL29" s="46"/>
    </row>
    <row r="30" spans="1:38">
      <c r="A30" s="10" t="s">
        <v>792</v>
      </c>
      <c r="B30" s="5"/>
      <c r="C30" s="16"/>
      <c r="D30" s="46">
        <v>4455</v>
      </c>
      <c r="E30" s="3" t="s">
        <v>785</v>
      </c>
      <c r="F30" s="46" t="s">
        <v>760</v>
      </c>
      <c r="G30" s="3" t="s">
        <v>787</v>
      </c>
      <c r="H30" s="3" t="s">
        <v>787</v>
      </c>
      <c r="I30" s="3" t="s">
        <v>787</v>
      </c>
      <c r="J30" s="3" t="s">
        <v>787</v>
      </c>
      <c r="K30" s="3"/>
      <c r="L30" s="3" t="s">
        <v>760</v>
      </c>
      <c r="M30" s="3"/>
      <c r="N30" s="3"/>
      <c r="O30" s="3"/>
      <c r="P30" s="3"/>
      <c r="Q30" s="3"/>
      <c r="R30" s="3"/>
      <c r="S30" s="3"/>
      <c r="T30" s="29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46"/>
      <c r="AL30" s="46"/>
    </row>
    <row r="31" spans="1:38">
      <c r="A31" s="10" t="s">
        <v>793</v>
      </c>
      <c r="B31" s="5"/>
      <c r="C31" s="16"/>
      <c r="D31" s="5"/>
      <c r="E31" s="3" t="s">
        <v>785</v>
      </c>
      <c r="F31" s="45" t="s">
        <v>760</v>
      </c>
      <c r="G31" s="3" t="s">
        <v>760</v>
      </c>
      <c r="H31" s="3" t="s">
        <v>787</v>
      </c>
      <c r="I31" s="3" t="s">
        <v>787</v>
      </c>
      <c r="J31" s="3" t="s">
        <v>787</v>
      </c>
      <c r="K31" s="3"/>
      <c r="L31" s="3" t="s">
        <v>787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4"/>
      <c r="AL31" s="34"/>
    </row>
    <row r="32" spans="1:38">
      <c r="A32" s="10" t="s">
        <v>794</v>
      </c>
      <c r="B32" s="5"/>
      <c r="C32" s="16"/>
      <c r="D32" s="5"/>
      <c r="E32" s="3" t="s">
        <v>785</v>
      </c>
      <c r="F32" s="45" t="s">
        <v>787</v>
      </c>
      <c r="G32" s="3" t="s">
        <v>787</v>
      </c>
      <c r="H32" s="3" t="s">
        <v>787</v>
      </c>
      <c r="I32" s="3" t="s">
        <v>787</v>
      </c>
      <c r="J32" s="3" t="s">
        <v>787</v>
      </c>
      <c r="K32" s="3"/>
      <c r="L32" s="3" t="s">
        <v>787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4"/>
      <c r="AL32" s="34"/>
    </row>
    <row r="33" spans="1:38">
      <c r="A33" s="4" t="s">
        <v>702</v>
      </c>
      <c r="B33" s="5"/>
      <c r="C33" s="3" t="s">
        <v>795</v>
      </c>
      <c r="D33" s="5"/>
      <c r="E33" s="3" t="s">
        <v>703</v>
      </c>
      <c r="F33" s="45" t="s">
        <v>791</v>
      </c>
      <c r="G33" s="45" t="s">
        <v>791</v>
      </c>
      <c r="H33" s="45" t="s">
        <v>791</v>
      </c>
      <c r="I33" s="45" t="s">
        <v>791</v>
      </c>
      <c r="J33" s="45" t="s">
        <v>791</v>
      </c>
      <c r="K33" s="3"/>
      <c r="L33" s="3" t="s">
        <v>787</v>
      </c>
      <c r="M33" s="3"/>
      <c r="N33" s="3"/>
      <c r="O33" s="14"/>
      <c r="P33" s="14"/>
      <c r="Q33" s="14"/>
      <c r="R33" s="3"/>
      <c r="S33" s="31"/>
      <c r="T33" s="14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14"/>
      <c r="AL33" s="14"/>
    </row>
    <row r="34" spans="1:38">
      <c r="A34" s="4" t="s">
        <v>704</v>
      </c>
      <c r="B34" s="5"/>
      <c r="C34" s="3" t="s">
        <v>795</v>
      </c>
      <c r="D34" s="5"/>
      <c r="E34" s="3" t="s">
        <v>703</v>
      </c>
      <c r="F34" s="45" t="s">
        <v>760</v>
      </c>
      <c r="G34" s="3" t="s">
        <v>760</v>
      </c>
      <c r="H34" s="3" t="s">
        <v>760</v>
      </c>
      <c r="I34" s="45" t="s">
        <v>796</v>
      </c>
      <c r="J34" s="45" t="s">
        <v>796</v>
      </c>
      <c r="K34" s="3"/>
      <c r="L34" s="45" t="s">
        <v>797</v>
      </c>
      <c r="M34" s="3"/>
      <c r="N34" s="3"/>
      <c r="O34" s="3"/>
      <c r="P34" s="3"/>
      <c r="Q34" s="3"/>
      <c r="R34" s="3"/>
      <c r="S34" s="26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>
      <c r="A35" s="4" t="s">
        <v>798</v>
      </c>
      <c r="B35" s="5"/>
      <c r="C35" s="3" t="s">
        <v>795</v>
      </c>
      <c r="D35" s="5"/>
      <c r="E35" s="3" t="s">
        <v>706</v>
      </c>
      <c r="F35" s="46" t="s">
        <v>760</v>
      </c>
      <c r="G35" s="14" t="s">
        <v>760</v>
      </c>
      <c r="H35" s="3" t="s">
        <v>760</v>
      </c>
      <c r="I35" s="3" t="s">
        <v>760</v>
      </c>
      <c r="J35" s="3" t="s">
        <v>760</v>
      </c>
      <c r="K35" s="3"/>
      <c r="L35" s="14" t="s">
        <v>760</v>
      </c>
      <c r="M35" s="3"/>
      <c r="N35" s="14"/>
      <c r="O35" s="3"/>
      <c r="P35" s="3"/>
      <c r="Q35" s="3"/>
      <c r="R35" s="3"/>
      <c r="S35" s="26"/>
      <c r="T35" s="3"/>
      <c r="U35" s="14"/>
      <c r="V35" s="3"/>
      <c r="W35" s="3"/>
      <c r="X35" s="3"/>
      <c r="Y35" s="3"/>
      <c r="Z35" s="3"/>
      <c r="AA35" s="3"/>
      <c r="AB35" s="3"/>
      <c r="AC35" s="3"/>
      <c r="AD35" s="3"/>
      <c r="AE35" s="14"/>
      <c r="AF35" s="3"/>
      <c r="AG35" s="3"/>
      <c r="AH35" s="3"/>
      <c r="AI35" s="3"/>
      <c r="AJ35" s="3"/>
      <c r="AK35" s="3"/>
      <c r="AL35" s="3"/>
    </row>
    <row r="36" spans="1:38">
      <c r="A36" s="4" t="s">
        <v>707</v>
      </c>
      <c r="B36" s="5"/>
      <c r="C36" s="3" t="s">
        <v>795</v>
      </c>
      <c r="D36" s="5"/>
      <c r="E36" s="3" t="s">
        <v>706</v>
      </c>
      <c r="F36" s="46" t="s">
        <v>760</v>
      </c>
      <c r="G36" s="14" t="s">
        <v>760</v>
      </c>
      <c r="H36" s="3" t="s">
        <v>760</v>
      </c>
      <c r="I36" s="3" t="s">
        <v>760</v>
      </c>
      <c r="J36" s="3" t="s">
        <v>760</v>
      </c>
      <c r="K36" s="3"/>
      <c r="L36" s="14" t="s">
        <v>760</v>
      </c>
      <c r="M36" s="3"/>
      <c r="N36" s="14"/>
      <c r="O36" s="3"/>
      <c r="P36" s="3"/>
      <c r="Q36" s="3"/>
      <c r="R36" s="3"/>
      <c r="S36" s="26"/>
      <c r="T36" s="3"/>
      <c r="U36" s="14"/>
      <c r="V36" s="3"/>
      <c r="W36" s="3"/>
      <c r="X36" s="3"/>
      <c r="Y36" s="3"/>
      <c r="Z36" s="3"/>
      <c r="AA36" s="3"/>
      <c r="AB36" s="3"/>
      <c r="AC36" s="3"/>
      <c r="AD36" s="3"/>
      <c r="AE36" s="14"/>
      <c r="AF36" s="3"/>
      <c r="AG36" s="3"/>
      <c r="AH36" s="3"/>
      <c r="AI36" s="3"/>
      <c r="AJ36" s="3"/>
      <c r="AK36" s="3"/>
      <c r="AL36" s="3"/>
    </row>
    <row r="37" spans="1:38">
      <c r="A37" s="4" t="s">
        <v>708</v>
      </c>
      <c r="B37" s="5"/>
      <c r="C37" s="3" t="s">
        <v>795</v>
      </c>
      <c r="D37" s="5"/>
      <c r="E37" s="3" t="s">
        <v>706</v>
      </c>
      <c r="F37" s="45" t="s">
        <v>791</v>
      </c>
      <c r="G37" s="45" t="s">
        <v>791</v>
      </c>
      <c r="H37" s="3" t="s">
        <v>760</v>
      </c>
      <c r="I37" s="3" t="s">
        <v>760</v>
      </c>
      <c r="J37" s="3" t="s">
        <v>760</v>
      </c>
      <c r="K37" s="3"/>
      <c r="L37" s="14" t="s">
        <v>760</v>
      </c>
      <c r="M37" s="3"/>
      <c r="N37" s="28"/>
      <c r="O37" s="3"/>
      <c r="P37" s="3"/>
      <c r="Q37" s="3"/>
      <c r="R37" s="3"/>
      <c r="S37" s="26"/>
      <c r="T37" s="3"/>
      <c r="U37" s="14"/>
      <c r="V37" s="3"/>
      <c r="W37" s="3"/>
      <c r="X37" s="3"/>
      <c r="Y37" s="3"/>
      <c r="Z37" s="3"/>
      <c r="AA37" s="3"/>
      <c r="AB37" s="3"/>
      <c r="AC37" s="3"/>
      <c r="AD37" s="3"/>
      <c r="AE37" s="14"/>
      <c r="AF37" s="3"/>
      <c r="AG37" s="3"/>
      <c r="AH37" s="3"/>
      <c r="AI37" s="3"/>
      <c r="AJ37" s="3"/>
      <c r="AK37" s="3"/>
      <c r="AL37" s="3"/>
    </row>
    <row r="38" spans="1:38">
      <c r="A38" s="4" t="s">
        <v>709</v>
      </c>
      <c r="B38" s="5"/>
      <c r="C38" s="3" t="s">
        <v>795</v>
      </c>
      <c r="D38" s="5"/>
      <c r="E38" s="3" t="s">
        <v>706</v>
      </c>
      <c r="F38" s="45" t="s">
        <v>791</v>
      </c>
      <c r="G38" s="45" t="s">
        <v>791</v>
      </c>
      <c r="H38" s="3" t="s">
        <v>760</v>
      </c>
      <c r="I38" s="3" t="s">
        <v>760</v>
      </c>
      <c r="J38" s="3" t="s">
        <v>760</v>
      </c>
      <c r="K38" s="3"/>
      <c r="L38" s="14" t="s">
        <v>760</v>
      </c>
      <c r="M38" s="3"/>
      <c r="N38" s="14"/>
      <c r="O38" s="3"/>
      <c r="P38" s="3"/>
      <c r="Q38" s="3"/>
      <c r="R38" s="3"/>
      <c r="S38" s="26"/>
      <c r="T38" s="3"/>
      <c r="U38" s="14"/>
      <c r="V38" s="3"/>
      <c r="W38" s="3"/>
      <c r="X38" s="3"/>
      <c r="Y38" s="3"/>
      <c r="Z38" s="3"/>
      <c r="AA38" s="3"/>
      <c r="AB38" s="3"/>
      <c r="AC38" s="3"/>
      <c r="AD38" s="3"/>
      <c r="AE38" s="14"/>
      <c r="AF38" s="3"/>
      <c r="AG38" s="3"/>
      <c r="AH38" s="3"/>
      <c r="AI38" s="3"/>
      <c r="AJ38" s="3"/>
      <c r="AK38" s="3"/>
      <c r="AL38" s="3"/>
    </row>
    <row r="39" spans="1:38">
      <c r="A39" s="4" t="s">
        <v>720</v>
      </c>
      <c r="B39" s="5"/>
      <c r="C39" s="3"/>
      <c r="D39" s="5"/>
      <c r="E39" s="3" t="s">
        <v>67</v>
      </c>
      <c r="F39" s="45" t="s">
        <v>791</v>
      </c>
      <c r="G39" s="45" t="s">
        <v>791</v>
      </c>
      <c r="H39" s="3" t="s">
        <v>760</v>
      </c>
      <c r="I39" s="3" t="s">
        <v>760</v>
      </c>
      <c r="J39" s="3" t="s">
        <v>760</v>
      </c>
      <c r="K39" s="3"/>
      <c r="L39" s="3" t="s">
        <v>760</v>
      </c>
      <c r="M39" s="3"/>
      <c r="N39" s="14"/>
      <c r="O39" s="3"/>
      <c r="P39" s="3"/>
      <c r="Q39" s="3"/>
      <c r="R39" s="3"/>
      <c r="S39" s="26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>
      <c r="A40" s="4" t="s">
        <v>721</v>
      </c>
      <c r="B40" s="5"/>
      <c r="C40" s="3"/>
      <c r="D40" s="5"/>
      <c r="E40" s="3" t="s">
        <v>67</v>
      </c>
      <c r="F40" s="46" t="s">
        <v>760</v>
      </c>
      <c r="G40" s="3" t="s">
        <v>760</v>
      </c>
      <c r="H40" s="3" t="s">
        <v>760</v>
      </c>
      <c r="I40" s="3" t="s">
        <v>760</v>
      </c>
      <c r="J40" s="29" t="s">
        <v>760</v>
      </c>
      <c r="K40" s="3"/>
      <c r="L40" s="3" t="s">
        <v>760</v>
      </c>
      <c r="M40" s="3"/>
      <c r="N40" s="14"/>
      <c r="O40" s="3"/>
      <c r="P40" s="3"/>
      <c r="Q40" s="3"/>
      <c r="R40" s="3"/>
      <c r="S40" s="26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>
      <c r="A41" s="4" t="s">
        <v>722</v>
      </c>
      <c r="B41" s="5"/>
      <c r="C41" s="3"/>
      <c r="D41" s="5"/>
      <c r="E41" s="3" t="s">
        <v>67</v>
      </c>
      <c r="F41" s="45" t="s">
        <v>760</v>
      </c>
      <c r="G41" s="3" t="s">
        <v>760</v>
      </c>
      <c r="H41" s="3" t="s">
        <v>760</v>
      </c>
      <c r="I41" s="3" t="s">
        <v>760</v>
      </c>
      <c r="J41" s="3" t="s">
        <v>760</v>
      </c>
      <c r="K41" s="3"/>
      <c r="L41" s="3" t="s">
        <v>760</v>
      </c>
      <c r="M41" s="3"/>
      <c r="N41" s="14"/>
      <c r="O41" s="3"/>
      <c r="P41" s="3"/>
      <c r="Q41" s="3"/>
      <c r="R41" s="3"/>
      <c r="S41" s="26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>
      <c r="A42" s="4" t="s">
        <v>710</v>
      </c>
      <c r="B42" s="5"/>
      <c r="C42" s="3" t="s">
        <v>795</v>
      </c>
      <c r="D42" s="5"/>
      <c r="E42" s="3" t="s">
        <v>137</v>
      </c>
      <c r="F42" s="45" t="s">
        <v>760</v>
      </c>
      <c r="G42" s="3" t="s">
        <v>760</v>
      </c>
      <c r="H42" s="3" t="s">
        <v>760</v>
      </c>
      <c r="I42" s="3" t="s">
        <v>760</v>
      </c>
      <c r="J42" s="3" t="s">
        <v>760</v>
      </c>
      <c r="K42" s="3"/>
      <c r="L42" s="3" t="s">
        <v>760</v>
      </c>
      <c r="M42" s="3"/>
      <c r="N42" s="3"/>
      <c r="O42" s="3"/>
      <c r="P42" s="3"/>
      <c r="Q42" s="3"/>
      <c r="R42" s="3"/>
      <c r="S42" s="26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>
      <c r="A43" s="4" t="s">
        <v>711</v>
      </c>
      <c r="B43" s="5"/>
      <c r="C43" s="3" t="s">
        <v>795</v>
      </c>
      <c r="D43" s="5"/>
      <c r="E43" s="3" t="s">
        <v>137</v>
      </c>
      <c r="F43" s="45" t="s">
        <v>787</v>
      </c>
      <c r="G43" s="3" t="s">
        <v>787</v>
      </c>
      <c r="H43" s="3" t="s">
        <v>787</v>
      </c>
      <c r="I43" s="3" t="s">
        <v>787</v>
      </c>
      <c r="J43" s="3" t="s">
        <v>787</v>
      </c>
      <c r="K43" s="3"/>
      <c r="L43" s="3" t="s">
        <v>787</v>
      </c>
      <c r="M43" s="3"/>
      <c r="N43" s="3"/>
      <c r="O43" s="3"/>
      <c r="P43" s="3"/>
      <c r="Q43" s="3"/>
      <c r="R43" s="3"/>
      <c r="S43" s="26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>
      <c r="A44" s="4" t="s">
        <v>719</v>
      </c>
      <c r="B44" s="5"/>
      <c r="C44" s="17" t="s">
        <v>799</v>
      </c>
      <c r="D44" s="5"/>
      <c r="E44" s="3" t="s">
        <v>687</v>
      </c>
      <c r="F44" s="18" t="s">
        <v>800</v>
      </c>
      <c r="G44" s="18"/>
      <c r="H44" s="18" t="s">
        <v>787</v>
      </c>
      <c r="I44" s="18" t="s">
        <v>787</v>
      </c>
      <c r="J44" s="18" t="s">
        <v>787</v>
      </c>
      <c r="K44" s="18"/>
      <c r="L44" s="18" t="s">
        <v>787</v>
      </c>
      <c r="M44" s="18"/>
      <c r="N44" s="18"/>
      <c r="O44" s="18"/>
      <c r="P44" s="18"/>
      <c r="Q44" s="18"/>
      <c r="R44" s="18"/>
      <c r="S44" s="32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3"/>
      <c r="AI44" s="3"/>
      <c r="AJ44" s="3"/>
      <c r="AK44" s="14"/>
      <c r="AL44" s="14"/>
    </row>
    <row r="45" spans="1:38">
      <c r="A45" s="4" t="s">
        <v>712</v>
      </c>
      <c r="B45" s="5"/>
      <c r="C45" s="17" t="s">
        <v>801</v>
      </c>
      <c r="D45" s="5"/>
      <c r="E45" s="3" t="s">
        <v>687</v>
      </c>
      <c r="F45" s="45" t="s">
        <v>760</v>
      </c>
      <c r="G45" s="45" t="s">
        <v>760</v>
      </c>
      <c r="H45" s="45" t="s">
        <v>760</v>
      </c>
      <c r="I45" s="45" t="s">
        <v>760</v>
      </c>
      <c r="J45" s="45" t="s">
        <v>760</v>
      </c>
      <c r="K45" s="3"/>
      <c r="L45" s="3" t="s">
        <v>760</v>
      </c>
      <c r="M45" s="3"/>
      <c r="N45" s="3"/>
      <c r="O45" s="3"/>
      <c r="P45" s="3"/>
      <c r="Q45" s="3"/>
      <c r="R45" s="3"/>
      <c r="S45" s="26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14"/>
      <c r="AL45" s="14"/>
    </row>
    <row r="46" spans="1:38">
      <c r="A46" s="4" t="s">
        <v>802</v>
      </c>
      <c r="B46" s="5"/>
      <c r="C46" s="16" t="s">
        <v>803</v>
      </c>
      <c r="D46" s="5"/>
      <c r="E46" s="3" t="s">
        <v>659</v>
      </c>
      <c r="F46" s="45" t="s">
        <v>787</v>
      </c>
      <c r="G46" s="45" t="s">
        <v>787</v>
      </c>
      <c r="H46" s="3" t="s">
        <v>787</v>
      </c>
      <c r="I46" s="3" t="s">
        <v>787</v>
      </c>
      <c r="J46" s="3" t="s">
        <v>787</v>
      </c>
      <c r="K46" s="3"/>
      <c r="L46" s="3" t="s">
        <v>760</v>
      </c>
      <c r="M46" s="3"/>
      <c r="N46" s="3"/>
      <c r="O46" s="3"/>
      <c r="P46" s="3"/>
      <c r="Q46" s="3"/>
      <c r="R46" s="3"/>
      <c r="S46" s="26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4"/>
      <c r="AL46" s="34"/>
    </row>
    <row r="47" spans="1:38">
      <c r="A47" s="4" t="s">
        <v>804</v>
      </c>
      <c r="B47" s="5"/>
      <c r="C47" s="16" t="s">
        <v>803</v>
      </c>
      <c r="D47" s="5"/>
      <c r="E47" s="3" t="s">
        <v>659</v>
      </c>
      <c r="F47" s="45" t="s">
        <v>787</v>
      </c>
      <c r="G47" s="45" t="s">
        <v>787</v>
      </c>
      <c r="H47" s="3" t="s">
        <v>787</v>
      </c>
      <c r="I47" s="3" t="s">
        <v>787</v>
      </c>
      <c r="J47" s="3" t="s">
        <v>787</v>
      </c>
      <c r="K47" s="3"/>
      <c r="L47" s="3" t="s">
        <v>760</v>
      </c>
      <c r="M47" s="3"/>
      <c r="N47" s="3"/>
      <c r="O47" s="3"/>
      <c r="P47" s="3"/>
      <c r="Q47" s="3"/>
      <c r="R47" s="3"/>
      <c r="S47" s="26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4"/>
      <c r="AL47" s="34"/>
    </row>
    <row r="48" spans="1:38">
      <c r="A48" s="4" t="s">
        <v>661</v>
      </c>
      <c r="B48" s="5"/>
      <c r="C48" s="6" t="s">
        <v>803</v>
      </c>
      <c r="D48" s="5"/>
      <c r="E48" s="3" t="s">
        <v>659</v>
      </c>
      <c r="F48" s="45" t="s">
        <v>787</v>
      </c>
      <c r="G48" s="3" t="s">
        <v>787</v>
      </c>
      <c r="H48" s="3" t="s">
        <v>760</v>
      </c>
      <c r="I48" s="3" t="s">
        <v>760</v>
      </c>
      <c r="J48" s="3" t="s">
        <v>760</v>
      </c>
      <c r="K48" s="3"/>
      <c r="L48" s="3" t="s">
        <v>760</v>
      </c>
      <c r="M48" s="3"/>
      <c r="N48" s="3"/>
      <c r="O48" s="3"/>
      <c r="P48" s="3"/>
      <c r="Q48" s="3"/>
      <c r="R48" s="3"/>
      <c r="S48" s="26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14"/>
      <c r="AL48" s="14"/>
    </row>
    <row r="49" spans="1:39">
      <c r="A49" s="19" t="s">
        <v>713</v>
      </c>
      <c r="B49" s="5"/>
      <c r="C49" s="3" t="s">
        <v>795</v>
      </c>
      <c r="D49" s="5"/>
      <c r="E49" s="3" t="s">
        <v>137</v>
      </c>
      <c r="F49" s="45" t="s">
        <v>760</v>
      </c>
      <c r="G49" s="45" t="s">
        <v>760</v>
      </c>
      <c r="H49" s="3" t="s">
        <v>760</v>
      </c>
      <c r="I49" s="3" t="s">
        <v>760</v>
      </c>
      <c r="J49" s="3" t="s">
        <v>760</v>
      </c>
      <c r="K49" s="3"/>
      <c r="L49" s="3" t="s">
        <v>760</v>
      </c>
      <c r="M49" s="3"/>
      <c r="N49" s="3"/>
      <c r="O49" s="3"/>
      <c r="P49" s="3"/>
      <c r="Q49" s="3"/>
      <c r="R49" s="3"/>
      <c r="S49" s="26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9">
      <c r="A50" s="20" t="s">
        <v>714</v>
      </c>
      <c r="B50" s="21"/>
      <c r="C50" s="22" t="s">
        <v>795</v>
      </c>
      <c r="D50" s="21"/>
      <c r="E50" s="23" t="s">
        <v>137</v>
      </c>
      <c r="F50" s="47" t="s">
        <v>805</v>
      </c>
      <c r="G50" s="47" t="s">
        <v>805</v>
      </c>
      <c r="H50" s="45" t="s">
        <v>805</v>
      </c>
      <c r="I50" s="45" t="s">
        <v>805</v>
      </c>
      <c r="J50" s="47" t="s">
        <v>805</v>
      </c>
      <c r="K50" s="22"/>
      <c r="L50" s="47" t="s">
        <v>805</v>
      </c>
      <c r="M50" s="3"/>
      <c r="N50" s="3"/>
      <c r="O50" s="22"/>
      <c r="P50" s="3"/>
      <c r="Q50" s="22"/>
      <c r="R50" s="22"/>
      <c r="S50" s="26"/>
      <c r="T50" s="3"/>
      <c r="U50" s="3"/>
      <c r="V50" s="3"/>
      <c r="W50" s="3"/>
      <c r="X50" s="3"/>
      <c r="Y50" s="3"/>
      <c r="Z50" s="3"/>
      <c r="AA50" s="22"/>
      <c r="AB50" s="3"/>
      <c r="AC50" s="22"/>
      <c r="AD50" s="3"/>
      <c r="AE50" s="3"/>
      <c r="AF50" s="3"/>
      <c r="AG50" s="3"/>
      <c r="AH50" s="3"/>
      <c r="AI50" s="3"/>
      <c r="AJ50" s="3"/>
      <c r="AK50" s="17">
        <v>191911</v>
      </c>
      <c r="AL50" s="17">
        <v>191911</v>
      </c>
      <c r="AM50" s="43">
        <v>180367</v>
      </c>
    </row>
    <row r="51" spans="1:39">
      <c r="A51" s="19" t="s">
        <v>715</v>
      </c>
      <c r="B51" s="5"/>
      <c r="C51" s="3" t="s">
        <v>795</v>
      </c>
      <c r="D51" s="5"/>
      <c r="E51" s="3" t="s">
        <v>716</v>
      </c>
      <c r="F51" s="3"/>
      <c r="G51" s="3"/>
      <c r="H51" s="3" t="s">
        <v>760</v>
      </c>
      <c r="I51" s="3" t="s">
        <v>760</v>
      </c>
      <c r="J51" s="3" t="s">
        <v>760</v>
      </c>
      <c r="K51" s="3"/>
      <c r="L51" s="3" t="s">
        <v>760</v>
      </c>
      <c r="M51" s="3"/>
      <c r="N51" s="3"/>
      <c r="O51" s="3"/>
      <c r="P51" s="3"/>
      <c r="Q51" s="3"/>
      <c r="R51" s="3"/>
      <c r="S51" s="26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9">
      <c r="A52" s="19" t="s">
        <v>717</v>
      </c>
      <c r="B52" s="5"/>
      <c r="C52" s="3" t="s">
        <v>795</v>
      </c>
      <c r="D52" s="5"/>
      <c r="E52" s="3" t="s">
        <v>718</v>
      </c>
      <c r="F52" s="45" t="s">
        <v>760</v>
      </c>
      <c r="G52" s="45" t="s">
        <v>760</v>
      </c>
      <c r="H52" s="3" t="s">
        <v>760</v>
      </c>
      <c r="I52" s="3" t="s">
        <v>760</v>
      </c>
      <c r="J52" s="3" t="s">
        <v>760</v>
      </c>
      <c r="K52" s="3"/>
      <c r="L52" s="3" t="s">
        <v>760</v>
      </c>
      <c r="M52" s="3"/>
      <c r="N52" s="3"/>
      <c r="O52" s="28"/>
      <c r="P52" s="3"/>
      <c r="Q52" s="3"/>
      <c r="R52" s="3"/>
      <c r="S52" s="26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9">
      <c r="A53" s="19" t="s">
        <v>674</v>
      </c>
      <c r="B53" s="5"/>
      <c r="C53" s="16" t="s">
        <v>803</v>
      </c>
      <c r="D53" s="5"/>
      <c r="E53" s="3" t="s">
        <v>675</v>
      </c>
      <c r="F53" s="191" t="s">
        <v>806</v>
      </c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3"/>
      <c r="AK53" s="36"/>
      <c r="AL53" s="37"/>
    </row>
    <row r="54" spans="1:39">
      <c r="A54" s="19" t="s">
        <v>674</v>
      </c>
      <c r="B54" s="5"/>
      <c r="C54" s="24" t="s">
        <v>807</v>
      </c>
      <c r="D54" s="5"/>
      <c r="E54" s="3" t="s">
        <v>679</v>
      </c>
      <c r="F54" s="191" t="s">
        <v>806</v>
      </c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3"/>
      <c r="AK54" s="38"/>
      <c r="AL54" s="37"/>
    </row>
    <row r="55" spans="1:39">
      <c r="A55" s="19" t="s">
        <v>656</v>
      </c>
      <c r="B55" s="5"/>
      <c r="C55" s="24" t="s">
        <v>807</v>
      </c>
      <c r="D55" s="5"/>
      <c r="E55" s="3" t="s">
        <v>672</v>
      </c>
      <c r="F55" s="191" t="s">
        <v>806</v>
      </c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3"/>
      <c r="AK55" s="38"/>
      <c r="AL55" s="37"/>
    </row>
    <row r="56" spans="1:39">
      <c r="A56" s="19" t="s">
        <v>656</v>
      </c>
      <c r="B56" s="5"/>
      <c r="C56" s="24" t="s">
        <v>807</v>
      </c>
      <c r="D56" s="5"/>
      <c r="E56" s="3" t="s">
        <v>667</v>
      </c>
      <c r="F56" s="191" t="s">
        <v>806</v>
      </c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3"/>
      <c r="AK56" s="38"/>
      <c r="AL56" s="37"/>
    </row>
    <row r="57" spans="1:39">
      <c r="A57" s="19" t="s">
        <v>656</v>
      </c>
      <c r="B57" s="5"/>
      <c r="C57" s="16" t="s">
        <v>808</v>
      </c>
      <c r="D57" s="5"/>
      <c r="E57" s="3" t="s">
        <v>657</v>
      </c>
      <c r="F57" s="191" t="s">
        <v>806</v>
      </c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3"/>
      <c r="AK57" s="38"/>
      <c r="AL57" s="37"/>
    </row>
    <row r="58" spans="1:39">
      <c r="A58" s="19" t="s">
        <v>662</v>
      </c>
      <c r="B58" s="5"/>
      <c r="C58" s="16" t="s">
        <v>803</v>
      </c>
      <c r="D58" s="5"/>
      <c r="E58" s="3" t="s">
        <v>657</v>
      </c>
      <c r="F58" s="191" t="s">
        <v>806</v>
      </c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3"/>
      <c r="AK58" s="38"/>
      <c r="AL58" s="37"/>
    </row>
    <row r="59" spans="1:39">
      <c r="A59" s="19" t="s">
        <v>809</v>
      </c>
      <c r="B59" s="5"/>
      <c r="C59" s="24" t="s">
        <v>807</v>
      </c>
      <c r="D59" s="5"/>
      <c r="E59" s="3" t="s">
        <v>676</v>
      </c>
      <c r="F59" s="191" t="s">
        <v>806</v>
      </c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3"/>
      <c r="AK59" s="38"/>
      <c r="AL59" s="37"/>
    </row>
    <row r="60" spans="1:39">
      <c r="A60" s="19" t="s">
        <v>656</v>
      </c>
      <c r="B60" s="5"/>
      <c r="C60" s="24" t="s">
        <v>807</v>
      </c>
      <c r="D60" s="5"/>
      <c r="E60" s="3" t="s">
        <v>676</v>
      </c>
      <c r="F60" s="191" t="s">
        <v>806</v>
      </c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3"/>
      <c r="AK60" s="38"/>
      <c r="AL60" s="37"/>
    </row>
    <row r="61" spans="1:39">
      <c r="A61" s="19" t="s">
        <v>656</v>
      </c>
      <c r="B61" s="5"/>
      <c r="C61" s="24" t="s">
        <v>807</v>
      </c>
      <c r="D61" s="5"/>
      <c r="E61" s="3" t="s">
        <v>664</v>
      </c>
      <c r="F61" s="191" t="s">
        <v>806</v>
      </c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3"/>
      <c r="AK61" s="38"/>
      <c r="AL61" s="37"/>
    </row>
    <row r="62" spans="1:39">
      <c r="A62" s="19" t="s">
        <v>663</v>
      </c>
      <c r="B62" s="5"/>
      <c r="C62" s="16" t="s">
        <v>803</v>
      </c>
      <c r="D62" s="5"/>
      <c r="E62" s="3" t="s">
        <v>664</v>
      </c>
      <c r="F62" s="191" t="s">
        <v>806</v>
      </c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3"/>
      <c r="AK62" s="38"/>
      <c r="AL62" s="37"/>
    </row>
    <row r="63" spans="1:39">
      <c r="A63" s="19" t="s">
        <v>656</v>
      </c>
      <c r="B63" s="5"/>
      <c r="C63" s="24" t="s">
        <v>807</v>
      </c>
      <c r="D63" s="5"/>
      <c r="E63" s="3" t="s">
        <v>677</v>
      </c>
      <c r="F63" s="191" t="s">
        <v>806</v>
      </c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3"/>
      <c r="AK63" s="38"/>
      <c r="AL63" s="37"/>
    </row>
    <row r="64" spans="1:39">
      <c r="A64" s="19" t="s">
        <v>656</v>
      </c>
      <c r="B64" s="5"/>
      <c r="C64" s="24" t="s">
        <v>807</v>
      </c>
      <c r="D64" s="5"/>
      <c r="E64" s="3" t="s">
        <v>678</v>
      </c>
      <c r="F64" s="191" t="s">
        <v>806</v>
      </c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3"/>
      <c r="AK64" s="38"/>
      <c r="AL64" s="37"/>
    </row>
    <row r="65" spans="1:38">
      <c r="A65" s="19" t="s">
        <v>810</v>
      </c>
      <c r="B65" s="5"/>
      <c r="C65" s="24" t="s">
        <v>807</v>
      </c>
      <c r="D65" s="5"/>
      <c r="E65" s="3" t="s">
        <v>665</v>
      </c>
      <c r="F65" s="191" t="s">
        <v>806</v>
      </c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3"/>
      <c r="AK65" s="38"/>
      <c r="AL65" s="37"/>
    </row>
    <row r="66" spans="1:38">
      <c r="A66" s="19" t="s">
        <v>656</v>
      </c>
      <c r="B66" s="5"/>
      <c r="C66" s="24" t="s">
        <v>807</v>
      </c>
      <c r="D66" s="5"/>
      <c r="E66" s="3" t="s">
        <v>680</v>
      </c>
      <c r="F66" s="191" t="s">
        <v>806</v>
      </c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3"/>
      <c r="AK66" s="38"/>
      <c r="AL66" s="37"/>
    </row>
    <row r="67" spans="1:38">
      <c r="A67" s="19" t="s">
        <v>656</v>
      </c>
      <c r="B67" s="5"/>
      <c r="C67" s="16" t="s">
        <v>803</v>
      </c>
      <c r="D67" s="5"/>
      <c r="E67" s="3" t="s">
        <v>665</v>
      </c>
      <c r="F67" s="191" t="s">
        <v>806</v>
      </c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3"/>
      <c r="AK67" s="38"/>
      <c r="AL67" s="37"/>
    </row>
    <row r="68" spans="1:38">
      <c r="A68" s="19" t="s">
        <v>681</v>
      </c>
      <c r="B68" s="5"/>
      <c r="C68" s="24" t="s">
        <v>807</v>
      </c>
      <c r="D68" s="5"/>
      <c r="E68" s="14" t="s">
        <v>678</v>
      </c>
      <c r="F68" s="191" t="s">
        <v>806</v>
      </c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3"/>
      <c r="AK68" s="3"/>
      <c r="AL68" s="38"/>
    </row>
    <row r="69" spans="1:38">
      <c r="A69" s="19" t="s">
        <v>681</v>
      </c>
      <c r="B69" s="5"/>
      <c r="C69" s="24" t="s">
        <v>807</v>
      </c>
      <c r="D69" s="5"/>
      <c r="E69" s="14" t="s">
        <v>678</v>
      </c>
      <c r="F69" s="191" t="s">
        <v>806</v>
      </c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3"/>
      <c r="AK69" s="3"/>
      <c r="AL69" s="38"/>
    </row>
    <row r="70" spans="1:38">
      <c r="A70" s="19" t="s">
        <v>666</v>
      </c>
      <c r="B70" s="5"/>
      <c r="C70" s="16" t="s">
        <v>803</v>
      </c>
      <c r="D70" s="5"/>
      <c r="E70" s="3" t="s">
        <v>667</v>
      </c>
      <c r="F70" s="191" t="s">
        <v>806</v>
      </c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3"/>
      <c r="AK70" s="3"/>
      <c r="AL70" s="37"/>
    </row>
    <row r="71" spans="1:38">
      <c r="A71" s="19" t="s">
        <v>668</v>
      </c>
      <c r="B71" s="5"/>
      <c r="C71" s="16" t="s">
        <v>803</v>
      </c>
      <c r="D71" s="5"/>
      <c r="E71" s="3" t="s">
        <v>669</v>
      </c>
      <c r="F71" s="191" t="s">
        <v>806</v>
      </c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3"/>
      <c r="AK71" s="3"/>
      <c r="AL71" s="37"/>
    </row>
    <row r="72" spans="1:38">
      <c r="A72" s="19" t="s">
        <v>668</v>
      </c>
      <c r="B72" s="5"/>
      <c r="C72" s="16" t="s">
        <v>803</v>
      </c>
      <c r="D72" s="5"/>
      <c r="E72" s="3" t="s">
        <v>669</v>
      </c>
      <c r="F72" s="191" t="s">
        <v>806</v>
      </c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3"/>
      <c r="AK72" s="3"/>
      <c r="AL72" s="37"/>
    </row>
    <row r="73" spans="1:38">
      <c r="A73" s="19" t="s">
        <v>670</v>
      </c>
      <c r="B73" s="5"/>
      <c r="C73" s="16" t="s">
        <v>803</v>
      </c>
      <c r="D73" s="5"/>
      <c r="E73" s="3" t="s">
        <v>669</v>
      </c>
      <c r="F73" s="191" t="s">
        <v>806</v>
      </c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3"/>
      <c r="AK73" s="3"/>
      <c r="AL73" s="37"/>
    </row>
    <row r="74" spans="1:38">
      <c r="A74" s="19" t="s">
        <v>668</v>
      </c>
      <c r="B74" s="5"/>
      <c r="C74" s="16" t="s">
        <v>803</v>
      </c>
      <c r="D74" s="5"/>
      <c r="E74" s="3" t="s">
        <v>54</v>
      </c>
      <c r="F74" s="191" t="s">
        <v>806</v>
      </c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3"/>
      <c r="AK74" s="3"/>
      <c r="AL74" s="37"/>
    </row>
    <row r="75" spans="1:38">
      <c r="A75" s="19" t="s">
        <v>668</v>
      </c>
      <c r="B75" s="5"/>
      <c r="C75" s="24" t="s">
        <v>807</v>
      </c>
      <c r="D75" s="5"/>
      <c r="E75" s="3" t="s">
        <v>54</v>
      </c>
      <c r="F75" s="191" t="s">
        <v>806</v>
      </c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3"/>
      <c r="AK75" s="3"/>
      <c r="AL75" s="37"/>
    </row>
    <row r="76" spans="1:38">
      <c r="A76" s="19" t="s">
        <v>668</v>
      </c>
      <c r="B76" s="5"/>
      <c r="C76" s="16" t="s">
        <v>803</v>
      </c>
      <c r="D76" s="5"/>
      <c r="E76" s="3" t="s">
        <v>782</v>
      </c>
      <c r="F76" s="191" t="s">
        <v>806</v>
      </c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3"/>
      <c r="AK76" s="3"/>
      <c r="AL76" s="37"/>
    </row>
    <row r="77" spans="1:38">
      <c r="A77" s="19" t="s">
        <v>811</v>
      </c>
      <c r="B77" s="5"/>
      <c r="C77" s="16" t="s">
        <v>803</v>
      </c>
      <c r="D77" s="5"/>
      <c r="E77" s="3" t="s">
        <v>782</v>
      </c>
      <c r="F77" s="191" t="s">
        <v>806</v>
      </c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3"/>
      <c r="AK77" s="3"/>
      <c r="AL77" s="37"/>
    </row>
    <row r="78" spans="1:38">
      <c r="A78" s="39" t="s">
        <v>723</v>
      </c>
      <c r="B78" s="13"/>
      <c r="C78" s="24"/>
      <c r="D78" s="40" t="s">
        <v>812</v>
      </c>
      <c r="E78" s="24" t="s">
        <v>724</v>
      </c>
      <c r="F78" s="202" t="s">
        <v>813</v>
      </c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4"/>
      <c r="AK78" s="41" t="s">
        <v>814</v>
      </c>
      <c r="AL78" s="24"/>
    </row>
    <row r="79" spans="1:38">
      <c r="A79" s="39" t="s">
        <v>725</v>
      </c>
      <c r="B79" s="13"/>
      <c r="C79" s="41"/>
      <c r="D79" s="40" t="s">
        <v>815</v>
      </c>
      <c r="E79" s="24" t="s">
        <v>726</v>
      </c>
      <c r="F79" s="202" t="s">
        <v>813</v>
      </c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4"/>
      <c r="AK79" s="41" t="s">
        <v>814</v>
      </c>
      <c r="AL79" s="41"/>
    </row>
    <row r="80" spans="1:38">
      <c r="A80" s="39" t="s">
        <v>727</v>
      </c>
      <c r="B80" s="13"/>
      <c r="C80" s="41"/>
      <c r="D80" s="40" t="s">
        <v>816</v>
      </c>
      <c r="E80" s="24" t="s">
        <v>728</v>
      </c>
      <c r="F80" s="202" t="s">
        <v>813</v>
      </c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4"/>
      <c r="AK80" s="41" t="s">
        <v>814</v>
      </c>
      <c r="AL80" s="41"/>
    </row>
    <row r="81" spans="1:38">
      <c r="A81" s="39" t="s">
        <v>729</v>
      </c>
      <c r="B81" s="13"/>
      <c r="C81" s="41"/>
      <c r="D81" s="40" t="s">
        <v>817</v>
      </c>
      <c r="E81" s="24" t="s">
        <v>730</v>
      </c>
      <c r="F81" s="202" t="s">
        <v>813</v>
      </c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4"/>
      <c r="AK81" s="41" t="s">
        <v>814</v>
      </c>
      <c r="AL81" s="41"/>
    </row>
    <row r="82" spans="1:38">
      <c r="A82" s="39" t="s">
        <v>731</v>
      </c>
      <c r="B82" s="13"/>
      <c r="C82" s="41"/>
      <c r="D82" s="40" t="s">
        <v>818</v>
      </c>
      <c r="E82" s="24" t="s">
        <v>732</v>
      </c>
      <c r="F82" s="202" t="s">
        <v>813</v>
      </c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4"/>
      <c r="AK82" s="41" t="s">
        <v>814</v>
      </c>
      <c r="AL82" s="41"/>
    </row>
    <row r="83" spans="1:38">
      <c r="A83" s="39" t="s">
        <v>733</v>
      </c>
      <c r="B83" s="13"/>
      <c r="C83" s="41"/>
      <c r="D83" s="40" t="s">
        <v>817</v>
      </c>
      <c r="E83" s="24" t="s">
        <v>734</v>
      </c>
      <c r="F83" s="202" t="s">
        <v>813</v>
      </c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4"/>
      <c r="AK83" s="41" t="s">
        <v>814</v>
      </c>
      <c r="AL83" s="41"/>
    </row>
    <row r="84" spans="1:38">
      <c r="A84" s="39" t="s">
        <v>735</v>
      </c>
      <c r="B84" s="13"/>
      <c r="C84" s="41"/>
      <c r="D84" s="40" t="s">
        <v>817</v>
      </c>
      <c r="E84" s="24" t="s">
        <v>736</v>
      </c>
      <c r="F84" s="202" t="s">
        <v>813</v>
      </c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4"/>
      <c r="AK84" s="41" t="s">
        <v>814</v>
      </c>
      <c r="AL84" s="41"/>
    </row>
    <row r="85" spans="1:38">
      <c r="A85" s="39" t="s">
        <v>737</v>
      </c>
      <c r="B85" s="13"/>
      <c r="C85" s="41"/>
      <c r="D85" s="40" t="s">
        <v>817</v>
      </c>
      <c r="E85" s="24" t="s">
        <v>488</v>
      </c>
      <c r="F85" s="202" t="s">
        <v>813</v>
      </c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4"/>
      <c r="AK85" s="41" t="s">
        <v>814</v>
      </c>
      <c r="AL85" s="41"/>
    </row>
    <row r="86" spans="1:38">
      <c r="A86" s="39" t="s">
        <v>738</v>
      </c>
      <c r="B86" s="13"/>
      <c r="C86" s="41"/>
      <c r="D86" s="40" t="s">
        <v>817</v>
      </c>
      <c r="E86" s="24" t="s">
        <v>679</v>
      </c>
      <c r="F86" s="202" t="s">
        <v>813</v>
      </c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4"/>
      <c r="AK86" s="41" t="s">
        <v>814</v>
      </c>
      <c r="AL86" s="41"/>
    </row>
    <row r="87" spans="1:38">
      <c r="A87" s="39" t="s">
        <v>739</v>
      </c>
      <c r="B87" s="13"/>
      <c r="C87" s="41"/>
      <c r="D87" s="40" t="s">
        <v>819</v>
      </c>
      <c r="E87" s="24" t="s">
        <v>740</v>
      </c>
      <c r="F87" s="202" t="s">
        <v>813</v>
      </c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4"/>
      <c r="AK87" s="41" t="s">
        <v>814</v>
      </c>
      <c r="AL87" s="41"/>
    </row>
    <row r="88" spans="1:38">
      <c r="A88" s="39" t="s">
        <v>741</v>
      </c>
      <c r="B88" s="13"/>
      <c r="C88" s="41"/>
      <c r="D88" s="40" t="s">
        <v>818</v>
      </c>
      <c r="E88" s="24" t="s">
        <v>742</v>
      </c>
      <c r="F88" s="202" t="s">
        <v>813</v>
      </c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4"/>
      <c r="AK88" s="41" t="s">
        <v>814</v>
      </c>
      <c r="AL88" s="41"/>
    </row>
    <row r="89" spans="1:38">
      <c r="A89" s="39" t="s">
        <v>743</v>
      </c>
      <c r="B89" s="13"/>
      <c r="C89" s="41"/>
      <c r="D89" s="40" t="s">
        <v>820</v>
      </c>
      <c r="E89" s="24" t="s">
        <v>488</v>
      </c>
      <c r="F89" s="202" t="s">
        <v>813</v>
      </c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4"/>
      <c r="AK89" s="41" t="s">
        <v>821</v>
      </c>
      <c r="AL89" s="41"/>
    </row>
    <row r="90" spans="1:38">
      <c r="A90" s="39" t="s">
        <v>744</v>
      </c>
      <c r="B90" s="13"/>
      <c r="C90" s="41"/>
      <c r="D90" s="40" t="s">
        <v>820</v>
      </c>
      <c r="E90" s="24" t="s">
        <v>488</v>
      </c>
      <c r="F90" s="202" t="s">
        <v>813</v>
      </c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4"/>
      <c r="AK90" s="41" t="s">
        <v>821</v>
      </c>
      <c r="AL90" s="41"/>
    </row>
    <row r="91" spans="1:38">
      <c r="A91" s="39" t="s">
        <v>745</v>
      </c>
      <c r="B91" s="13"/>
      <c r="C91" s="41"/>
      <c r="D91" s="40" t="s">
        <v>820</v>
      </c>
      <c r="E91" s="24" t="s">
        <v>488</v>
      </c>
      <c r="F91" s="202" t="s">
        <v>813</v>
      </c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4"/>
      <c r="AK91" s="41" t="s">
        <v>821</v>
      </c>
      <c r="AL91" s="41"/>
    </row>
    <row r="92" spans="1:38">
      <c r="A92" s="39" t="s">
        <v>746</v>
      </c>
      <c r="B92" s="13"/>
      <c r="C92" s="41"/>
      <c r="D92" s="40" t="s">
        <v>820</v>
      </c>
      <c r="E92" s="24" t="s">
        <v>488</v>
      </c>
      <c r="F92" s="202" t="s">
        <v>813</v>
      </c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4"/>
      <c r="AK92" s="41" t="s">
        <v>821</v>
      </c>
      <c r="AL92" s="41"/>
    </row>
    <row r="93" spans="1:38">
      <c r="A93" s="39" t="s">
        <v>747</v>
      </c>
      <c r="B93" s="13"/>
      <c r="C93" s="41"/>
      <c r="D93" s="40" t="s">
        <v>812</v>
      </c>
      <c r="E93" s="24" t="s">
        <v>748</v>
      </c>
      <c r="F93" s="202" t="s">
        <v>813</v>
      </c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4"/>
      <c r="AK93" s="41" t="s">
        <v>821</v>
      </c>
      <c r="AL93" s="41"/>
    </row>
    <row r="94" spans="1:38">
      <c r="A94" s="19" t="s">
        <v>822</v>
      </c>
      <c r="B94" s="5"/>
      <c r="C94" s="24" t="s">
        <v>807</v>
      </c>
      <c r="D94" s="5" t="s">
        <v>823</v>
      </c>
      <c r="E94" s="3" t="s">
        <v>54</v>
      </c>
      <c r="F94" s="202" t="s">
        <v>813</v>
      </c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4"/>
      <c r="AK94" s="3"/>
      <c r="AL94" s="42"/>
    </row>
    <row r="95" spans="1:38">
      <c r="A95" s="19" t="s">
        <v>822</v>
      </c>
      <c r="B95" s="5"/>
      <c r="C95" s="24" t="s">
        <v>807</v>
      </c>
      <c r="D95" s="5" t="s">
        <v>823</v>
      </c>
      <c r="E95" s="3" t="s">
        <v>54</v>
      </c>
      <c r="F95" s="205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  <c r="AA95" s="206"/>
      <c r="AB95" s="206"/>
      <c r="AC95" s="206"/>
      <c r="AD95" s="206"/>
      <c r="AE95" s="206"/>
      <c r="AF95" s="206"/>
      <c r="AG95" s="206"/>
      <c r="AH95" s="206"/>
      <c r="AI95" s="206"/>
      <c r="AJ95" s="207"/>
      <c r="AK95" s="3"/>
      <c r="AL95" s="42"/>
    </row>
    <row r="96" spans="1:38">
      <c r="A96" s="19" t="s">
        <v>822</v>
      </c>
      <c r="B96" s="5"/>
      <c r="C96" s="24" t="s">
        <v>807</v>
      </c>
      <c r="D96" s="5" t="s">
        <v>824</v>
      </c>
      <c r="E96" s="3" t="s">
        <v>54</v>
      </c>
      <c r="F96" s="205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  <c r="AA96" s="206"/>
      <c r="AB96" s="206"/>
      <c r="AC96" s="206"/>
      <c r="AD96" s="206"/>
      <c r="AE96" s="206"/>
      <c r="AF96" s="206"/>
      <c r="AG96" s="206"/>
      <c r="AH96" s="206"/>
      <c r="AI96" s="206"/>
      <c r="AJ96" s="207"/>
      <c r="AK96" s="3"/>
      <c r="AL96" s="42"/>
    </row>
    <row r="97" spans="1:38">
      <c r="A97" s="19"/>
      <c r="B97" s="5"/>
      <c r="C97" s="3"/>
      <c r="D97" s="5"/>
      <c r="E97" s="3"/>
      <c r="F97" s="205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  <c r="AA97" s="206"/>
      <c r="AB97" s="206"/>
      <c r="AC97" s="206"/>
      <c r="AD97" s="206"/>
      <c r="AE97" s="206"/>
      <c r="AF97" s="206"/>
      <c r="AG97" s="206"/>
      <c r="AH97" s="206"/>
      <c r="AI97" s="206"/>
      <c r="AJ97" s="207"/>
      <c r="AK97" s="3"/>
      <c r="AL97" s="3"/>
    </row>
    <row r="98" spans="1:38">
      <c r="A98" s="19"/>
      <c r="B98" s="5"/>
      <c r="C98" s="3"/>
      <c r="D98" s="5"/>
      <c r="E98" s="3"/>
      <c r="F98" s="205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  <c r="AA98" s="206"/>
      <c r="AB98" s="206"/>
      <c r="AC98" s="206"/>
      <c r="AD98" s="206"/>
      <c r="AE98" s="206"/>
      <c r="AF98" s="206"/>
      <c r="AG98" s="206"/>
      <c r="AH98" s="206"/>
      <c r="AI98" s="206"/>
      <c r="AJ98" s="207"/>
      <c r="AK98" s="3"/>
      <c r="AL98" s="3"/>
    </row>
    <row r="99" spans="1:38">
      <c r="A99" s="19"/>
      <c r="B99" s="5"/>
      <c r="C99" s="3"/>
      <c r="D99" s="5"/>
      <c r="E99" s="3"/>
      <c r="F99" s="205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  <c r="AA99" s="206"/>
      <c r="AB99" s="206"/>
      <c r="AC99" s="206"/>
      <c r="AD99" s="206"/>
      <c r="AE99" s="206"/>
      <c r="AF99" s="206"/>
      <c r="AG99" s="206"/>
      <c r="AH99" s="206"/>
      <c r="AI99" s="206"/>
      <c r="AJ99" s="207"/>
      <c r="AK99" s="3"/>
      <c r="AL99" s="3"/>
    </row>
    <row r="100" spans="1:38">
      <c r="A100" s="19"/>
      <c r="B100" s="5"/>
      <c r="C100" s="3"/>
      <c r="D100" s="5"/>
      <c r="E100" s="3"/>
      <c r="F100" s="205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  <c r="AA100" s="206"/>
      <c r="AB100" s="206"/>
      <c r="AC100" s="206"/>
      <c r="AD100" s="206"/>
      <c r="AE100" s="206"/>
      <c r="AF100" s="206"/>
      <c r="AG100" s="206"/>
      <c r="AH100" s="206"/>
      <c r="AI100" s="206"/>
      <c r="AJ100" s="207"/>
      <c r="AK100" s="3"/>
      <c r="AL100" s="3"/>
    </row>
    <row r="101" spans="1:38">
      <c r="A101" s="19"/>
      <c r="B101" s="5"/>
      <c r="C101" s="3"/>
      <c r="D101" s="5"/>
      <c r="E101" s="3"/>
      <c r="F101" s="205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  <c r="AA101" s="206"/>
      <c r="AB101" s="206"/>
      <c r="AC101" s="206"/>
      <c r="AD101" s="206"/>
      <c r="AE101" s="206"/>
      <c r="AF101" s="206"/>
      <c r="AG101" s="206"/>
      <c r="AH101" s="206"/>
      <c r="AI101" s="206"/>
      <c r="AJ101" s="207"/>
      <c r="AK101" s="3"/>
      <c r="AL101" s="3"/>
    </row>
  </sheetData>
  <mergeCells count="54">
    <mergeCell ref="F101:AJ101"/>
    <mergeCell ref="F90:AJ90"/>
    <mergeCell ref="F91:AJ91"/>
    <mergeCell ref="F92:AJ92"/>
    <mergeCell ref="F93:AJ93"/>
    <mergeCell ref="F94:AJ94"/>
    <mergeCell ref="F95:AJ95"/>
    <mergeCell ref="F96:AJ96"/>
    <mergeCell ref="F97:AJ97"/>
    <mergeCell ref="F98:AJ98"/>
    <mergeCell ref="F99:AJ99"/>
    <mergeCell ref="F100:AJ100"/>
    <mergeCell ref="F89:AJ89"/>
    <mergeCell ref="F78:AJ78"/>
    <mergeCell ref="F79:AJ79"/>
    <mergeCell ref="F80:AJ80"/>
    <mergeCell ref="F81:AJ81"/>
    <mergeCell ref="F82:AJ82"/>
    <mergeCell ref="F83:AJ83"/>
    <mergeCell ref="F84:AJ84"/>
    <mergeCell ref="F85:AJ85"/>
    <mergeCell ref="F86:AJ86"/>
    <mergeCell ref="F87:AJ87"/>
    <mergeCell ref="F88:AJ88"/>
    <mergeCell ref="F77:AJ77"/>
    <mergeCell ref="F66:AJ66"/>
    <mergeCell ref="F67:AJ67"/>
    <mergeCell ref="F68:AJ68"/>
    <mergeCell ref="F69:AJ69"/>
    <mergeCell ref="F70:AJ70"/>
    <mergeCell ref="F71:AJ71"/>
    <mergeCell ref="F72:AJ72"/>
    <mergeCell ref="F73:AJ73"/>
    <mergeCell ref="F74:AJ74"/>
    <mergeCell ref="F75:AJ75"/>
    <mergeCell ref="F76:AJ76"/>
    <mergeCell ref="F65:AJ65"/>
    <mergeCell ref="F54:AJ54"/>
    <mergeCell ref="F55:AJ55"/>
    <mergeCell ref="F56:AJ56"/>
    <mergeCell ref="F57:AJ57"/>
    <mergeCell ref="F58:AJ58"/>
    <mergeCell ref="F59:AJ59"/>
    <mergeCell ref="F60:AJ60"/>
    <mergeCell ref="F61:AJ61"/>
    <mergeCell ref="F62:AJ62"/>
    <mergeCell ref="F63:AJ63"/>
    <mergeCell ref="F64:AJ64"/>
    <mergeCell ref="F53:AJ53"/>
    <mergeCell ref="A1:AM3"/>
    <mergeCell ref="A4:A5"/>
    <mergeCell ref="D4:D5"/>
    <mergeCell ref="E4:E5"/>
    <mergeCell ref="F4:AL4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6F8F01E4DA9849ABE631B4D8FA97E8" ma:contentTypeVersion="12" ma:contentTypeDescription="Create a new document." ma:contentTypeScope="" ma:versionID="a016ce5163d15252e00ea81c168626af">
  <xsd:schema xmlns:xsd="http://www.w3.org/2001/XMLSchema" xmlns:xs="http://www.w3.org/2001/XMLSchema" xmlns:p="http://schemas.microsoft.com/office/2006/metadata/properties" xmlns:ns2="0c2e1314-074f-4c3d-837a-7fd9616da7d4" xmlns:ns3="830691a3-f2fd-41a3-b619-97223ef04304" targetNamespace="http://schemas.microsoft.com/office/2006/metadata/properties" ma:root="true" ma:fieldsID="824219e9c9d809c028821d40a81a9738" ns2:_="" ns3:_="">
    <xsd:import namespace="0c2e1314-074f-4c3d-837a-7fd9616da7d4"/>
    <xsd:import namespace="830691a3-f2fd-41a3-b619-97223ef04304"/>
    <xsd:element name="properties">
      <xsd:complexType>
        <xsd:sequence>
          <xsd:element name="documentManagement">
            <xsd:complexType>
              <xsd:all>
                <xsd:element ref="ns2:MediaServiceBillingMetadat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2e1314-074f-4c3d-837a-7fd9616da7d4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ef31e83-2b75-41b4-a542-b07f84ea67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691a3-f2fd-41a3-b619-97223ef0430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a3ff05-4d90-4988-8b38-7c56075d99fe}" ma:internalName="TaxCatchAll" ma:showField="CatchAllData" ma:web="830691a3-f2fd-41a3-b619-97223ef043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0691a3-f2fd-41a3-b619-97223ef04304" xsi:nil="true"/>
    <lcf76f155ced4ddcb4097134ff3c332f xmlns="0c2e1314-074f-4c3d-837a-7fd9616da7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E19C91-0B25-497A-A8BA-DDA8DEB091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2e1314-074f-4c3d-837a-7fd9616da7d4"/>
    <ds:schemaRef ds:uri="830691a3-f2fd-41a3-b619-97223ef043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4BBE0A-16CF-47D0-A305-5AB6D64BD6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A59C3D-8DA9-4F76-9ECB-C1C3CD537C26}">
  <ds:schemaRefs>
    <ds:schemaRef ds:uri="http://schemas.microsoft.com/office/2006/metadata/properties"/>
    <ds:schemaRef ds:uri="http://schemas.microsoft.com/office/infopath/2007/PartnerControls"/>
    <ds:schemaRef ds:uri="830691a3-f2fd-41a3-b619-97223ef04304"/>
    <ds:schemaRef ds:uri="0c2e1314-074f-4c3d-837a-7fd9616da7d4"/>
  </ds:schemaRefs>
</ds:datastoreItem>
</file>

<file path=docMetadata/LabelInfo.xml><?xml version="1.0" encoding="utf-8"?>
<clbl:labelList xmlns:clbl="http://schemas.microsoft.com/office/2020/mipLabelMetadata">
  <clbl:label id="{ae6627ad-4b20-466d-821c-fd9ee7a25a55}" enabled="0" method="" siteId="{ae6627ad-4b20-466d-821c-fd9ee7a25a5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RAW DATA</vt:lpstr>
      <vt:lpstr>DATA</vt:lpstr>
      <vt:lpstr>ALAT UKUR</vt:lpstr>
      <vt:lpstr>Sheet4</vt:lpstr>
      <vt:lpstr>PVT</vt:lpstr>
      <vt:lpstr>Sheet3</vt:lpstr>
      <vt:lpstr>OLD</vt:lpstr>
      <vt:lpstr>Sheet1</vt:lpstr>
      <vt:lpstr>DATA!Print_Area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 Alam</dc:creator>
  <cp:keywords/>
  <dc:description/>
  <cp:lastModifiedBy>Ubaidillah Ubaidillah</cp:lastModifiedBy>
  <cp:revision/>
  <dcterms:created xsi:type="dcterms:W3CDTF">2024-01-17T01:32:00Z</dcterms:created>
  <dcterms:modified xsi:type="dcterms:W3CDTF">2026-10-21T08:59:28Z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CCB3B84523764542BD06BB8E8AF7A16C_12</vt:lpwstr>
  </property>
  <property fmtid="{D5CDD505-2E9C-101B-9397-08002B2CF9AE}" pid="3" name="KSOProductBuildVer">
    <vt:lpwstr>1033-12.2.0.21179</vt:lpwstr>
  </property>
  <property fmtid="{D5CDD505-2E9C-101B-9397-08002B2CF9AE}" pid="4" name="ContentTypeId">
    <vt:lpwstr>0x010100766F8F01E4DA9849ABE631B4D8FA97E8</vt:lpwstr>
  </property>
  <property fmtid="{D5CDD505-2E9C-101B-9397-08002B2CF9AE}" pid="5" name="Order">
    <vt:r8>147200</vt:r8>
  </property>
  <property fmtid="{D5CDD505-2E9C-101B-9397-08002B2CF9AE}" pid="6" name="MediaServiceImageTags">
    <vt:lpwstr/>
  </property>
</Properties>
</file>